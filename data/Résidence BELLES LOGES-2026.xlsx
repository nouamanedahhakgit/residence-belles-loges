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filterPrivacy="1" codeName="ThisWorkbook" defaultThemeVersion="124226"/>
  <xr:revisionPtr revIDLastSave="546" documentId="13_ncr:1_{FE120C85-FBF3-48AA-9B75-CE10A287DBC0}" xr6:coauthVersionLast="47" xr6:coauthVersionMax="47" xr10:uidLastSave="{0903E9C7-DB18-44F2-9A73-511074ED4C41}"/>
  <bookViews>
    <workbookView xWindow="-120" yWindow="-120" windowWidth="29040" windowHeight="15840" tabRatio="595" xr2:uid="{00000000-000D-0000-FFFF-FFFF00000000}"/>
  </bookViews>
  <sheets>
    <sheet name="Appel DE Fond" sheetId="32" r:id="rId1"/>
    <sheet name="Cotisation 2026" sheetId="31" r:id="rId2"/>
    <sheet name="Cotisation 2025" sheetId="28" r:id="rId3"/>
    <sheet name="Cotisation 2024" sheetId="14" r:id="rId4"/>
  </sheets>
  <definedNames>
    <definedName name="_xlnm._FilterDatabase" localSheetId="3" hidden="1">'Cotisation 2024'!$B$6:$U$40</definedName>
    <definedName name="_xlnm._FilterDatabase" localSheetId="2" hidden="1">'Cotisation 2025'!$B$6:$V$40</definedName>
    <definedName name="_xlnm._FilterDatabase" localSheetId="1" hidden="1">'Cotisation 2026'!$B$6:$U$40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19" i="32" l="1"/>
  <c r="C11" i="32"/>
  <c r="U5" i="14"/>
  <c r="T7" i="14"/>
  <c r="T7" i="28"/>
  <c r="U7" i="28"/>
  <c r="U7" i="31" s="1"/>
  <c r="R40" i="31"/>
  <c r="Q40" i="31"/>
  <c r="P40" i="31"/>
  <c r="O40" i="31"/>
  <c r="N40" i="31"/>
  <c r="M40" i="31"/>
  <c r="L40" i="31"/>
  <c r="K40" i="31"/>
  <c r="J40" i="31"/>
  <c r="I40" i="31"/>
  <c r="H40" i="31"/>
  <c r="G40" i="31"/>
  <c r="S39" i="31"/>
  <c r="T39" i="31" s="1"/>
  <c r="S38" i="31"/>
  <c r="T38" i="31" s="1"/>
  <c r="S37" i="31"/>
  <c r="T37" i="31" s="1"/>
  <c r="S36" i="31"/>
  <c r="T36" i="31" s="1"/>
  <c r="S35" i="31"/>
  <c r="T35" i="31" s="1"/>
  <c r="S34" i="31"/>
  <c r="T34" i="31" s="1"/>
  <c r="S33" i="31"/>
  <c r="T33" i="31" s="1"/>
  <c r="S32" i="31"/>
  <c r="T32" i="31" s="1"/>
  <c r="S31" i="31"/>
  <c r="T31" i="31" s="1"/>
  <c r="S30" i="31"/>
  <c r="T30" i="31" s="1"/>
  <c r="S29" i="31"/>
  <c r="T29" i="31" s="1"/>
  <c r="S28" i="31"/>
  <c r="T28" i="31" s="1"/>
  <c r="S27" i="31"/>
  <c r="S26" i="31"/>
  <c r="T26" i="31" s="1"/>
  <c r="S25" i="31"/>
  <c r="T25" i="31" s="1"/>
  <c r="S24" i="31"/>
  <c r="T24" i="31" s="1"/>
  <c r="S23" i="31"/>
  <c r="T23" i="31" s="1"/>
  <c r="S22" i="31"/>
  <c r="T22" i="31" s="1"/>
  <c r="S21" i="31"/>
  <c r="T21" i="31" s="1"/>
  <c r="S20" i="31"/>
  <c r="T20" i="31" s="1"/>
  <c r="S19" i="31"/>
  <c r="T19" i="31" s="1"/>
  <c r="S18" i="31"/>
  <c r="T18" i="31" s="1"/>
  <c r="S17" i="31"/>
  <c r="T17" i="31" s="1"/>
  <c r="S16" i="31"/>
  <c r="T16" i="31" s="1"/>
  <c r="S15" i="31"/>
  <c r="T15" i="31" s="1"/>
  <c r="S14" i="31"/>
  <c r="T14" i="31" s="1"/>
  <c r="S13" i="31"/>
  <c r="T13" i="31" s="1"/>
  <c r="S12" i="31"/>
  <c r="T12" i="31" s="1"/>
  <c r="S11" i="31"/>
  <c r="T11" i="31" s="1"/>
  <c r="S10" i="31"/>
  <c r="T10" i="31" s="1"/>
  <c r="S9" i="31"/>
  <c r="T9" i="31" s="1"/>
  <c r="S8" i="31"/>
  <c r="T8" i="31" s="1"/>
  <c r="T7" i="31"/>
  <c r="U5" i="31"/>
  <c r="T11" i="28"/>
  <c r="U11" i="28" s="1"/>
  <c r="U11" i="31" s="1"/>
  <c r="U7" i="14"/>
  <c r="V7" i="28" s="1"/>
  <c r="V7" i="31" s="1"/>
  <c r="R40" i="28"/>
  <c r="Q40" i="28"/>
  <c r="P40" i="28"/>
  <c r="O40" i="28"/>
  <c r="N40" i="28"/>
  <c r="M40" i="28"/>
  <c r="L40" i="28"/>
  <c r="K40" i="28"/>
  <c r="J40" i="28"/>
  <c r="I40" i="28"/>
  <c r="H40" i="28"/>
  <c r="T39" i="28"/>
  <c r="U39" i="28" s="1"/>
  <c r="U39" i="31" s="1"/>
  <c r="T38" i="28"/>
  <c r="U38" i="28" s="1"/>
  <c r="U38" i="31" s="1"/>
  <c r="T37" i="28"/>
  <c r="U37" i="28" s="1"/>
  <c r="U37" i="31" s="1"/>
  <c r="T36" i="28"/>
  <c r="U36" i="28" s="1"/>
  <c r="T35" i="28"/>
  <c r="U35" i="28"/>
  <c r="T34" i="28"/>
  <c r="U34" i="28"/>
  <c r="T33" i="28"/>
  <c r="U33" i="28" s="1"/>
  <c r="T32" i="28"/>
  <c r="U32" i="28" s="1"/>
  <c r="U32" i="31" s="1"/>
  <c r="T31" i="28"/>
  <c r="U31" i="28" s="1"/>
  <c r="T30" i="28"/>
  <c r="U30" i="28" s="1"/>
  <c r="U30" i="31" s="1"/>
  <c r="T29" i="28"/>
  <c r="U29" i="28" s="1"/>
  <c r="T28" i="28"/>
  <c r="U28" i="28" s="1"/>
  <c r="T27" i="28"/>
  <c r="U27" i="28" s="1"/>
  <c r="T26" i="28"/>
  <c r="U26" i="28"/>
  <c r="T25" i="28"/>
  <c r="U25" i="28"/>
  <c r="U25" i="31" s="1"/>
  <c r="T24" i="28"/>
  <c r="U24" i="28"/>
  <c r="U24" i="31" s="1"/>
  <c r="T23" i="28"/>
  <c r="U23" i="28"/>
  <c r="U23" i="31" s="1"/>
  <c r="T22" i="28"/>
  <c r="U22" i="28"/>
  <c r="T21" i="28"/>
  <c r="U21" i="28"/>
  <c r="T20" i="28"/>
  <c r="U20" i="28"/>
  <c r="T19" i="28"/>
  <c r="U19" i="28"/>
  <c r="U19" i="31" s="1"/>
  <c r="T18" i="28"/>
  <c r="U18" i="28"/>
  <c r="T17" i="28"/>
  <c r="U17" i="28"/>
  <c r="U17" i="31" s="1"/>
  <c r="T16" i="28"/>
  <c r="U16" i="28"/>
  <c r="T15" i="28"/>
  <c r="U15" i="28"/>
  <c r="U15" i="31" s="1"/>
  <c r="T14" i="28"/>
  <c r="U14" i="28"/>
  <c r="T13" i="28"/>
  <c r="U13" i="28"/>
  <c r="U13" i="31" s="1"/>
  <c r="T12" i="28"/>
  <c r="U12" i="28"/>
  <c r="T10" i="28"/>
  <c r="U10" i="28"/>
  <c r="T9" i="28"/>
  <c r="U9" i="28"/>
  <c r="T8" i="28"/>
  <c r="U8" i="28"/>
  <c r="U8" i="31" s="1"/>
  <c r="V5" i="28"/>
  <c r="S40" i="28"/>
  <c r="T8" i="14"/>
  <c r="T11" i="14"/>
  <c r="U11" i="14" s="1"/>
  <c r="V11" i="28" s="1"/>
  <c r="V11" i="31" s="1"/>
  <c r="T9" i="14"/>
  <c r="U9" i="14" s="1"/>
  <c r="V9" i="28" s="1"/>
  <c r="V9" i="31" s="1"/>
  <c r="T10" i="14"/>
  <c r="U10" i="14" s="1"/>
  <c r="V10" i="28" s="1"/>
  <c r="V10" i="31" s="1"/>
  <c r="T12" i="14"/>
  <c r="U12" i="14" s="1"/>
  <c r="V12" i="28" s="1"/>
  <c r="V12" i="31" s="1"/>
  <c r="T13" i="14"/>
  <c r="U13" i="14" s="1"/>
  <c r="V13" i="28" s="1"/>
  <c r="V13" i="31" s="1"/>
  <c r="T14" i="14"/>
  <c r="U14" i="14" s="1"/>
  <c r="V14" i="28" s="1"/>
  <c r="V14" i="31" s="1"/>
  <c r="T15" i="14"/>
  <c r="U15" i="14" s="1"/>
  <c r="V15" i="28" s="1"/>
  <c r="V15" i="31" s="1"/>
  <c r="T16" i="14"/>
  <c r="U16" i="14" s="1"/>
  <c r="V16" i="28" s="1"/>
  <c r="V16" i="31" s="1"/>
  <c r="T17" i="14"/>
  <c r="U17" i="14" s="1"/>
  <c r="V17" i="28" s="1"/>
  <c r="V17" i="31" s="1"/>
  <c r="T18" i="14"/>
  <c r="U18" i="14" s="1"/>
  <c r="V18" i="28" s="1"/>
  <c r="V18" i="31" s="1"/>
  <c r="T19" i="14"/>
  <c r="U19" i="14" s="1"/>
  <c r="V19" i="28" s="1"/>
  <c r="V19" i="31" s="1"/>
  <c r="T20" i="14"/>
  <c r="U20" i="14" s="1"/>
  <c r="V20" i="28" s="1"/>
  <c r="V20" i="31" s="1"/>
  <c r="T21" i="14"/>
  <c r="U21" i="14" s="1"/>
  <c r="V21" i="28" s="1"/>
  <c r="V21" i="31" s="1"/>
  <c r="T22" i="14"/>
  <c r="U22" i="14" s="1"/>
  <c r="V22" i="28" s="1"/>
  <c r="V22" i="31" s="1"/>
  <c r="T23" i="14"/>
  <c r="U23" i="14" s="1"/>
  <c r="V23" i="28" s="1"/>
  <c r="V23" i="31" s="1"/>
  <c r="T24" i="14"/>
  <c r="U24" i="14" s="1"/>
  <c r="V24" i="28" s="1"/>
  <c r="V24" i="31" s="1"/>
  <c r="T25" i="14"/>
  <c r="U25" i="14" s="1"/>
  <c r="V25" i="28" s="1"/>
  <c r="V25" i="31" s="1"/>
  <c r="T26" i="14"/>
  <c r="U26" i="14" s="1"/>
  <c r="V26" i="28" s="1"/>
  <c r="V26" i="31" s="1"/>
  <c r="T27" i="14"/>
  <c r="U27" i="14" s="1"/>
  <c r="V27" i="28" s="1"/>
  <c r="V27" i="31" s="1"/>
  <c r="T28" i="14"/>
  <c r="U28" i="14" s="1"/>
  <c r="V28" i="28" s="1"/>
  <c r="V28" i="31" s="1"/>
  <c r="T29" i="14"/>
  <c r="U29" i="14" s="1"/>
  <c r="V29" i="28" s="1"/>
  <c r="V29" i="31" s="1"/>
  <c r="T30" i="14"/>
  <c r="U30" i="14" s="1"/>
  <c r="V30" i="28" s="1"/>
  <c r="V30" i="31" s="1"/>
  <c r="T31" i="14"/>
  <c r="U31" i="14" s="1"/>
  <c r="V31" i="28" s="1"/>
  <c r="V31" i="31" s="1"/>
  <c r="T32" i="14"/>
  <c r="U32" i="14" s="1"/>
  <c r="V32" i="28" s="1"/>
  <c r="V32" i="31" s="1"/>
  <c r="T33" i="14"/>
  <c r="U33" i="14" s="1"/>
  <c r="V33" i="28" s="1"/>
  <c r="V33" i="31" s="1"/>
  <c r="T34" i="14"/>
  <c r="U34" i="14" s="1"/>
  <c r="V34" i="28" s="1"/>
  <c r="V34" i="31" s="1"/>
  <c r="T35" i="14"/>
  <c r="U35" i="14" s="1"/>
  <c r="V35" i="28" s="1"/>
  <c r="V35" i="31" s="1"/>
  <c r="T36" i="14"/>
  <c r="U36" i="14" s="1"/>
  <c r="V36" i="28" s="1"/>
  <c r="V36" i="31" s="1"/>
  <c r="T37" i="14"/>
  <c r="U37" i="14" s="1"/>
  <c r="V37" i="28" s="1"/>
  <c r="V37" i="31" s="1"/>
  <c r="T38" i="14"/>
  <c r="U38" i="14" s="1"/>
  <c r="V38" i="28" s="1"/>
  <c r="V38" i="31" s="1"/>
  <c r="T39" i="14"/>
  <c r="U39" i="14" s="1"/>
  <c r="V39" i="28" s="1"/>
  <c r="V39" i="31" s="1"/>
  <c r="S40" i="14"/>
  <c r="R40" i="14"/>
  <c r="Q40" i="14"/>
  <c r="P40" i="14"/>
  <c r="O40" i="14"/>
  <c r="N40" i="14"/>
  <c r="M40" i="14"/>
  <c r="L40" i="14"/>
  <c r="K40" i="14"/>
  <c r="J40" i="14"/>
  <c r="I40" i="14"/>
  <c r="H40" i="14"/>
  <c r="U21" i="31"/>
  <c r="U9" i="31"/>
  <c r="U14" i="31"/>
  <c r="U18" i="31"/>
  <c r="U22" i="31"/>
  <c r="U26" i="31"/>
  <c r="U34" i="31"/>
  <c r="U10" i="31"/>
  <c r="U35" i="31"/>
  <c r="U12" i="31"/>
  <c r="U16" i="31"/>
  <c r="U20" i="31"/>
  <c r="T40" i="14" l="1"/>
  <c r="U8" i="14"/>
  <c r="U29" i="31"/>
  <c r="U31" i="31"/>
  <c r="U28" i="31"/>
  <c r="U33" i="31"/>
  <c r="S40" i="31"/>
  <c r="U36" i="31"/>
  <c r="T27" i="31"/>
  <c r="U27" i="31"/>
  <c r="U40" i="31"/>
  <c r="AA26" i="31" s="1"/>
  <c r="T40" i="28"/>
  <c r="U40" i="28"/>
  <c r="V8" i="28" l="1"/>
  <c r="U40" i="14"/>
  <c r="T40" i="31"/>
  <c r="V8" i="31" l="1"/>
  <c r="V40" i="31" s="1"/>
  <c r="V40" i="28"/>
  <c r="AA26" i="28" s="1"/>
</calcChain>
</file>

<file path=xl/sharedStrings.xml><?xml version="1.0" encoding="utf-8"?>
<sst xmlns="http://schemas.openxmlformats.org/spreadsheetml/2006/main" count="427" uniqueCount="126">
  <si>
    <t>-</t>
  </si>
  <si>
    <t>ASRAGUIS ABDELGHANI</t>
  </si>
  <si>
    <t>MAHRACH HAYAT</t>
  </si>
  <si>
    <t>Résidence LES BELLES LOGES : Situation annuelle des cotisations syndicales  Année 2024-2025</t>
  </si>
  <si>
    <t>Edité le :</t>
  </si>
  <si>
    <t>Nom du copropriétaire</t>
  </si>
  <si>
    <t>N° de Tel</t>
  </si>
  <si>
    <t>whatsapp</t>
  </si>
  <si>
    <t>Date d'aquisition</t>
  </si>
  <si>
    <t>Etage</t>
  </si>
  <si>
    <t>N° du lot</t>
  </si>
  <si>
    <t>Total des cotisations payées en 2024</t>
  </si>
  <si>
    <t>NMJ CAPITAL</t>
  </si>
  <si>
    <t>ok</t>
  </si>
  <si>
    <t>RDC</t>
  </si>
  <si>
    <t>Magasin N° 1</t>
  </si>
  <si>
    <t>HIND DRIOUECH ET MR ABDELAH NACHIT</t>
  </si>
  <si>
    <t>0669791313</t>
  </si>
  <si>
    <t>Magasin N° 2</t>
  </si>
  <si>
    <t>X</t>
  </si>
  <si>
    <t>Magasin N° 3</t>
  </si>
  <si>
    <t>Magasin N° 4</t>
  </si>
  <si>
    <t>BENYAHYA IHSAN</t>
  </si>
  <si>
    <t>0662773532</t>
  </si>
  <si>
    <t>Appartement N°1</t>
  </si>
  <si>
    <t>GHALLAB HAKIM</t>
  </si>
  <si>
    <t>0661411823</t>
  </si>
  <si>
    <t>Appartement N°2</t>
  </si>
  <si>
    <t>NADIL IMANE</t>
  </si>
  <si>
    <t>061908 2870</t>
  </si>
  <si>
    <t>Appartement N°3</t>
  </si>
  <si>
    <t>INSAF BASSIL</t>
  </si>
  <si>
    <t>NA</t>
  </si>
  <si>
    <t>Appartement N°4</t>
  </si>
  <si>
    <t>MME TORRES HIND</t>
  </si>
  <si>
    <t>00447551433285</t>
  </si>
  <si>
    <t>Appartement N°5</t>
  </si>
  <si>
    <t xml:space="preserve">NMJ CAPITAL / BEN HADDOUCH YOUNES </t>
  </si>
  <si>
    <t>0669281802</t>
  </si>
  <si>
    <t>Appartement N°6</t>
  </si>
  <si>
    <t>Appartement N°7</t>
  </si>
  <si>
    <t>MR LAHBABI NIZAR</t>
  </si>
  <si>
    <t>0661286870</t>
  </si>
  <si>
    <t>Appartement N°8</t>
  </si>
  <si>
    <t>0661936094</t>
  </si>
  <si>
    <t>Appartement N°9</t>
  </si>
  <si>
    <t>GHALLAB MOUHSSINE</t>
  </si>
  <si>
    <t>0661157305</t>
  </si>
  <si>
    <t>Appartement N°10</t>
  </si>
  <si>
    <t>Appartement N°11</t>
  </si>
  <si>
    <t>ELMOSTAFA EL GUESSAB</t>
  </si>
  <si>
    <t>0705262264</t>
  </si>
  <si>
    <t>Appartement N°12</t>
  </si>
  <si>
    <t xml:space="preserve">DOUKKALI BOUALAM ZINEB / ABDELHADI NADIFI </t>
  </si>
  <si>
    <t>0661214852 / 0664908843</t>
  </si>
  <si>
    <t>Appartement N°13</t>
  </si>
  <si>
    <t>GHALLAB HAMID</t>
  </si>
  <si>
    <t>0661311165</t>
  </si>
  <si>
    <t>Appartement N°14</t>
  </si>
  <si>
    <t>DRISS BENNANI</t>
  </si>
  <si>
    <t>0661317078</t>
  </si>
  <si>
    <t>Appartement N°15</t>
  </si>
  <si>
    <t>Appartement N°16</t>
  </si>
  <si>
    <t>Appartement N°17</t>
  </si>
  <si>
    <t>MME BEN BRAHIM ANDALOUSSI FATTOUMA</t>
  </si>
  <si>
    <t>0661324710</t>
  </si>
  <si>
    <t>Appartement N°18</t>
  </si>
  <si>
    <t>Appartement N°19</t>
  </si>
  <si>
    <t>Appartement N°20</t>
  </si>
  <si>
    <t>Appartement N°21</t>
  </si>
  <si>
    <t>Appartement N°22</t>
  </si>
  <si>
    <t>MOULINE LARBI</t>
  </si>
  <si>
    <t>0606557512</t>
  </si>
  <si>
    <t>Appartement N°23</t>
  </si>
  <si>
    <t>Appartement N°24</t>
  </si>
  <si>
    <t>MME HAJJI SABAH</t>
  </si>
  <si>
    <t>0661090187</t>
  </si>
  <si>
    <t>Appartement N°25</t>
  </si>
  <si>
    <t>MLLE FILALI DOUNIA</t>
  </si>
  <si>
    <t>0661201440</t>
  </si>
  <si>
    <t>Appartement N°26</t>
  </si>
  <si>
    <t>MME AAMARA HAKIMA/MOUFARREH ADIL</t>
  </si>
  <si>
    <t>0663381883</t>
  </si>
  <si>
    <t>Appartement N°27</t>
  </si>
  <si>
    <t>0661384815</t>
  </si>
  <si>
    <t>Appartement N°28</t>
  </si>
  <si>
    <t>MAMOUNE KETTANI</t>
  </si>
  <si>
    <t>0661457372</t>
  </si>
  <si>
    <t>Appartement N°29</t>
  </si>
  <si>
    <t>Total des cotisations /mois</t>
  </si>
  <si>
    <t xml:space="preserve">                                              </t>
  </si>
  <si>
    <t>Total des cotisations payées en 2025</t>
  </si>
  <si>
    <t>Reste à payer en 2025</t>
  </si>
  <si>
    <t>Les arriérés 2024</t>
  </si>
  <si>
    <t>0661377432</t>
  </si>
  <si>
    <t>0661311165 / 0666422524</t>
  </si>
  <si>
    <t>Résidence LES BELLES LOGES : Situation annuelle des cotisations syndicales  Année  2025</t>
  </si>
  <si>
    <t>Reste à payer en 2024-2022</t>
  </si>
  <si>
    <t>Les arriérés 2025</t>
  </si>
  <si>
    <t>Reste à payer en 2026</t>
  </si>
  <si>
    <t>Résidence LES BELLES LOGES : Situation annuelle des cotisations syndicales  Année  2026</t>
  </si>
  <si>
    <t xml:space="preserve">BEN HADDOUCH YOUNES </t>
  </si>
  <si>
    <t>MR LAHBABI NIZAR (COR</t>
  </si>
  <si>
    <t>Q</t>
  </si>
  <si>
    <t>YASSINE YATRIBI</t>
  </si>
  <si>
    <t>0661478244</t>
  </si>
  <si>
    <t>SYNDICAT RESIDENCE BELLES LOGE</t>
  </si>
  <si>
    <t xml:space="preserve"> RUE ATTABARI, QUARTIER LES PRINCESSES, CASABLANCA</t>
  </si>
  <si>
    <t>APPEL DE FOND DES CHARGES COMMUNES DE LA COPROPRIETE N°A10-10/26</t>
  </si>
  <si>
    <t xml:space="preserve">Le </t>
  </si>
  <si>
    <t>MME HIND DRIOUECH ET MR ABDELAH NACHIT</t>
  </si>
  <si>
    <t>Merci de trouvez ci-joint le détail de votre contribution :</t>
  </si>
  <si>
    <t>DESIGNATION</t>
  </si>
  <si>
    <t>N° DE LOT</t>
  </si>
  <si>
    <t>MONTANT</t>
  </si>
  <si>
    <t>OBSERVATION</t>
  </si>
  <si>
    <t>Prévisions des charges communes</t>
  </si>
  <si>
    <t>M02</t>
  </si>
  <si>
    <t>DE OCTOBRE-2026 à DCEMBRE-2026</t>
  </si>
  <si>
    <t>M03</t>
  </si>
  <si>
    <t>TOTAL A PAYER</t>
  </si>
  <si>
    <t>Arrêter le présent appel de fond à la somme de :  TROIS  MILLE SIX CENTS DIRHAM</t>
  </si>
  <si>
    <t>LE REGLEMENT DOIT CE FAIRE SUR LE COMPTE BANCAIRE DE LA RESIDENCE OU BIEN UN CHEQUE ETABLIT SELON LES INFORMARTION SUIVANTES :</t>
  </si>
  <si>
    <t>LIBELLE DU COMPTE : SYNDICAT RESIDENCE BELLES LOGES</t>
  </si>
  <si>
    <t>RIB:                                  011 780 0000402100011545 25</t>
  </si>
  <si>
    <t xml:space="preserve">       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</si>
</sst>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.00\ _€_-;\-* #,##0.00\ _€_-;_-* &quot;-&quot;??\ _€_-;_-@_-"/>
    <numFmt numFmtId="165" formatCode="_-* #,##0\ _€_-;\-* #,##0\ _€_-;_-* &quot;-&quot;??\ _€_-;_-@_-"/>
    <numFmt numFmtId="166" formatCode="[$-40C]mmm\-yy;@"/>
    <numFmt numFmtId="167" formatCode="#,##0\ &quot;DH&quot;;[Red]\-#,##0\ &quot;DH&quot;"/>
  </numFmts>
  <fonts count="3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8"/>
      <color theme="3"/>
      <name val="Arial"/>
      <family val="2"/>
    </font>
    <font>
      <b/>
      <sz val="14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color theme="1"/>
      <name val="Calibri"/>
      <family val="2"/>
      <scheme val="minor"/>
    </font>
    <font>
      <b/>
      <sz val="10"/>
      <color theme="1"/>
      <name val="Arial"/>
      <family val="2"/>
    </font>
    <font>
      <b/>
      <sz val="11"/>
      <color theme="1"/>
      <name val="Arial"/>
      <family val="2"/>
    </font>
    <font>
      <sz val="11"/>
      <name val="Calibri"/>
      <family val="2"/>
    </font>
    <font>
      <sz val="8"/>
      <name val="Calibri"/>
      <family val="2"/>
      <scheme val="minor"/>
    </font>
    <font>
      <b/>
      <sz val="8"/>
      <color theme="1"/>
      <name val="Arial"/>
      <family val="2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u/>
      <sz val="10"/>
      <color rgb="FF4170A9"/>
      <name val="Verdana"/>
      <family val="2"/>
    </font>
    <font>
      <b/>
      <sz val="10"/>
      <color rgb="FFFFFFFF"/>
      <name val="Verdana"/>
      <family val="2"/>
    </font>
    <font>
      <b/>
      <sz val="9"/>
      <color theme="1"/>
      <name val="Arial"/>
      <family val="2"/>
    </font>
    <font>
      <b/>
      <u/>
      <sz val="10"/>
      <color theme="1"/>
      <name val="Arial"/>
      <family val="2"/>
    </font>
    <font>
      <b/>
      <u/>
      <sz val="11"/>
      <color theme="1"/>
      <name val="Arial"/>
      <family val="2"/>
    </font>
    <font>
      <u/>
      <sz val="11"/>
      <color theme="1"/>
      <name val="Calibri"/>
      <family val="2"/>
      <scheme val="minor"/>
    </font>
    <font>
      <b/>
      <sz val="11"/>
      <color theme="1"/>
      <name val="Times New Roman"/>
      <family val="1"/>
    </font>
    <font>
      <b/>
      <sz val="11"/>
      <name val="Times New Roman"/>
      <family val="1"/>
    </font>
    <font>
      <b/>
      <sz val="11"/>
      <name val="Arial"/>
      <family val="2"/>
    </font>
    <font>
      <b/>
      <u/>
      <sz val="11"/>
      <color theme="1"/>
      <name val="Calibri"/>
      <family val="2"/>
      <scheme val="minor"/>
    </font>
    <font>
      <b/>
      <sz val="11"/>
      <color theme="1" tint="4.9989318521683403E-2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Times New Roman"/>
      <family val="1"/>
    </font>
    <font>
      <b/>
      <sz val="11"/>
      <color theme="1" tint="4.9989318521683403E-2"/>
      <name val="Arial"/>
      <family val="2"/>
    </font>
    <font>
      <b/>
      <sz val="11"/>
      <name val="Calibri"/>
      <family val="2"/>
    </font>
    <font>
      <b/>
      <sz val="14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4173A9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4" tint="0.59999389629810485"/>
        <bgColor indexed="64"/>
      </patternFill>
    </fill>
  </fills>
  <borders count="6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666666"/>
      </left>
      <right style="thin">
        <color rgb="FF666666"/>
      </right>
      <top style="thin">
        <color rgb="FF666666"/>
      </top>
      <bottom style="thin">
        <color rgb="FF666666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7">
    <xf numFmtId="0" fontId="0" fillId="0" borderId="0"/>
    <xf numFmtId="164" fontId="2" fillId="0" borderId="0" applyFont="0" applyFill="0" applyBorder="0" applyAlignment="0" applyProtection="0"/>
    <xf numFmtId="0" fontId="7" fillId="0" borderId="0"/>
    <xf numFmtId="0" fontId="8" fillId="0" borderId="0"/>
    <xf numFmtId="0" fontId="16" fillId="0" borderId="0"/>
    <xf numFmtId="0" fontId="17" fillId="14" borderId="55">
      <alignment horizontal="center"/>
    </xf>
    <xf numFmtId="0" fontId="11" fillId="0" borderId="0">
      <alignment vertical="center"/>
    </xf>
  </cellStyleXfs>
  <cellXfs count="219">
    <xf numFmtId="0" fontId="0" fillId="0" borderId="0" xfId="0"/>
    <xf numFmtId="0" fontId="3" fillId="0" borderId="0" xfId="0" applyFont="1"/>
    <xf numFmtId="0" fontId="4" fillId="0" borderId="0" xfId="0" applyFont="1" applyAlignment="1">
      <alignment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vertical="center"/>
    </xf>
    <xf numFmtId="0" fontId="0" fillId="0" borderId="4" xfId="0" applyBorder="1"/>
    <xf numFmtId="0" fontId="3" fillId="0" borderId="3" xfId="0" applyFont="1" applyBorder="1"/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49" fontId="13" fillId="0" borderId="1" xfId="0" applyNumberFormat="1" applyFont="1" applyBorder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49" fontId="13" fillId="0" borderId="9" xfId="0" applyNumberFormat="1" applyFont="1" applyBorder="1" applyAlignment="1">
      <alignment horizontal="center" vertical="center" wrapText="1"/>
    </xf>
    <xf numFmtId="0" fontId="9" fillId="0" borderId="8" xfId="0" applyFont="1" applyBorder="1" applyAlignment="1">
      <alignment horizontal="center" vertical="center" wrapText="1"/>
    </xf>
    <xf numFmtId="165" fontId="14" fillId="2" borderId="3" xfId="1" applyNumberFormat="1" applyFont="1" applyFill="1" applyBorder="1" applyAlignment="1">
      <alignment horizontal="right" vertical="center"/>
    </xf>
    <xf numFmtId="165" fontId="0" fillId="0" borderId="0" xfId="0" applyNumberFormat="1"/>
    <xf numFmtId="0" fontId="9" fillId="8" borderId="16" xfId="0" applyFont="1" applyFill="1" applyBorder="1" applyAlignment="1">
      <alignment horizontal="center" vertical="center" wrapText="1"/>
    </xf>
    <xf numFmtId="0" fontId="9" fillId="8" borderId="10" xfId="0" applyFont="1" applyFill="1" applyBorder="1" applyAlignment="1">
      <alignment horizontal="center" vertical="center" wrapText="1"/>
    </xf>
    <xf numFmtId="0" fontId="9" fillId="10" borderId="10" xfId="0" applyFont="1" applyFill="1" applyBorder="1" applyAlignment="1">
      <alignment horizontal="center" vertical="center" wrapText="1"/>
    </xf>
    <xf numFmtId="0" fontId="9" fillId="11" borderId="10" xfId="0" applyFont="1" applyFill="1" applyBorder="1" applyAlignment="1">
      <alignment horizontal="center" vertical="center" wrapText="1"/>
    </xf>
    <xf numFmtId="0" fontId="13" fillId="12" borderId="10" xfId="0" applyFont="1" applyFill="1" applyBorder="1" applyAlignment="1">
      <alignment horizontal="center" vertical="center" wrapText="1"/>
    </xf>
    <xf numFmtId="0" fontId="9" fillId="12" borderId="10" xfId="0" applyFont="1" applyFill="1" applyBorder="1" applyAlignment="1">
      <alignment horizontal="center" vertical="center" wrapText="1"/>
    </xf>
    <xf numFmtId="0" fontId="9" fillId="13" borderId="10" xfId="0" applyFont="1" applyFill="1" applyBorder="1" applyAlignment="1">
      <alignment horizontal="center" vertical="center" wrapText="1"/>
    </xf>
    <xf numFmtId="0" fontId="9" fillId="9" borderId="10" xfId="0" applyFont="1" applyFill="1" applyBorder="1" applyAlignment="1">
      <alignment horizontal="center" vertical="center" wrapText="1"/>
    </xf>
    <xf numFmtId="0" fontId="9" fillId="15" borderId="28" xfId="0" applyFont="1" applyFill="1" applyBorder="1" applyAlignment="1">
      <alignment horizontal="center" vertical="center" wrapText="1"/>
    </xf>
    <xf numFmtId="0" fontId="9" fillId="15" borderId="10" xfId="0" applyFont="1" applyFill="1" applyBorder="1" applyAlignment="1">
      <alignment horizontal="center" vertical="center" wrapText="1"/>
    </xf>
    <xf numFmtId="49" fontId="10" fillId="0" borderId="18" xfId="0" applyNumberFormat="1" applyFont="1" applyBorder="1" applyAlignment="1">
      <alignment horizontal="center" vertical="center" wrapText="1"/>
    </xf>
    <xf numFmtId="49" fontId="10" fillId="0" borderId="9" xfId="0" applyNumberFormat="1" applyFont="1" applyBorder="1" applyAlignment="1">
      <alignment horizontal="center" vertical="center" wrapText="1"/>
    </xf>
    <xf numFmtId="49" fontId="10" fillId="0" borderId="7" xfId="0" applyNumberFormat="1" applyFont="1" applyBorder="1" applyAlignment="1">
      <alignment horizontal="center" vertical="center" wrapText="1"/>
    </xf>
    <xf numFmtId="0" fontId="9" fillId="16" borderId="10" xfId="0" applyFont="1" applyFill="1" applyBorder="1" applyAlignment="1">
      <alignment horizontal="center" vertical="center" wrapText="1"/>
    </xf>
    <xf numFmtId="14" fontId="14" fillId="2" borderId="5" xfId="1" applyNumberFormat="1" applyFont="1" applyFill="1" applyBorder="1" applyAlignment="1">
      <alignment horizontal="center" vertical="center"/>
    </xf>
    <xf numFmtId="49" fontId="9" fillId="0" borderId="24" xfId="0" applyNumberFormat="1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vertical="center" wrapText="1"/>
    </xf>
    <xf numFmtId="0" fontId="19" fillId="13" borderId="10" xfId="0" applyFont="1" applyFill="1" applyBorder="1" applyAlignment="1">
      <alignment horizontal="center" vertical="center" wrapText="1"/>
    </xf>
    <xf numFmtId="49" fontId="20" fillId="0" borderId="9" xfId="0" applyNumberFormat="1" applyFont="1" applyBorder="1" applyAlignment="1">
      <alignment horizontal="center" vertical="center" wrapText="1"/>
    </xf>
    <xf numFmtId="0" fontId="21" fillId="0" borderId="0" xfId="0" applyFont="1"/>
    <xf numFmtId="49" fontId="10" fillId="0" borderId="10" xfId="0" applyNumberFormat="1" applyFont="1" applyBorder="1" applyAlignment="1">
      <alignment horizontal="center" vertical="center" wrapText="1"/>
    </xf>
    <xf numFmtId="0" fontId="0" fillId="17" borderId="0" xfId="0" applyFill="1"/>
    <xf numFmtId="0" fontId="21" fillId="17" borderId="0" xfId="0" applyFont="1" applyFill="1"/>
    <xf numFmtId="0" fontId="9" fillId="0" borderId="9" xfId="0" applyFont="1" applyBorder="1" applyAlignment="1">
      <alignment horizontal="center" vertical="center" wrapText="1"/>
    </xf>
    <xf numFmtId="0" fontId="1" fillId="2" borderId="17" xfId="0" applyFont="1" applyFill="1" applyBorder="1" applyAlignment="1">
      <alignment horizontal="center" vertical="center"/>
    </xf>
    <xf numFmtId="0" fontId="22" fillId="2" borderId="35" xfId="0" applyFont="1" applyFill="1" applyBorder="1" applyAlignment="1">
      <alignment horizontal="center" vertical="center"/>
    </xf>
    <xf numFmtId="166" fontId="23" fillId="2" borderId="53" xfId="1" applyNumberFormat="1" applyFont="1" applyFill="1" applyBorder="1" applyAlignment="1">
      <alignment horizontal="center" vertical="center"/>
    </xf>
    <xf numFmtId="166" fontId="23" fillId="2" borderId="54" xfId="1" applyNumberFormat="1" applyFont="1" applyFill="1" applyBorder="1" applyAlignment="1">
      <alignment horizontal="center" vertical="center"/>
    </xf>
    <xf numFmtId="166" fontId="23" fillId="2" borderId="2" xfId="1" applyNumberFormat="1" applyFont="1" applyFill="1" applyBorder="1" applyAlignment="1">
      <alignment horizontal="center" vertical="center"/>
    </xf>
    <xf numFmtId="165" fontId="23" fillId="2" borderId="16" xfId="1" applyNumberFormat="1" applyFont="1" applyFill="1" applyBorder="1" applyAlignment="1">
      <alignment horizontal="center" vertical="center" wrapText="1"/>
    </xf>
    <xf numFmtId="49" fontId="10" fillId="3" borderId="28" xfId="0" applyNumberFormat="1" applyFont="1" applyFill="1" applyBorder="1" applyAlignment="1">
      <alignment horizontal="center" vertical="center" wrapText="1"/>
    </xf>
    <xf numFmtId="0" fontId="10" fillId="0" borderId="1" xfId="0" applyFont="1" applyBorder="1" applyAlignment="1">
      <alignment horizontal="center" vertical="center" wrapText="1"/>
    </xf>
    <xf numFmtId="165" fontId="24" fillId="3" borderId="28" xfId="1" applyNumberFormat="1" applyFont="1" applyFill="1" applyBorder="1" applyAlignment="1">
      <alignment horizontal="center" vertical="center"/>
    </xf>
    <xf numFmtId="0" fontId="6" fillId="0" borderId="44" xfId="1" applyNumberFormat="1" applyFont="1" applyFill="1" applyBorder="1" applyAlignment="1">
      <alignment horizontal="center" vertical="center"/>
    </xf>
    <xf numFmtId="0" fontId="6" fillId="0" borderId="42" xfId="1" applyNumberFormat="1" applyFont="1" applyFill="1" applyBorder="1" applyAlignment="1">
      <alignment horizontal="center" vertical="center"/>
    </xf>
    <xf numFmtId="0" fontId="6" fillId="0" borderId="47" xfId="1" applyNumberFormat="1" applyFont="1" applyFill="1" applyBorder="1" applyAlignment="1">
      <alignment horizontal="center" vertical="center"/>
    </xf>
    <xf numFmtId="49" fontId="10" fillId="0" borderId="11" xfId="0" applyNumberFormat="1" applyFont="1" applyBorder="1" applyAlignment="1">
      <alignment horizontal="center" vertical="center" wrapText="1"/>
    </xf>
    <xf numFmtId="14" fontId="24" fillId="0" borderId="10" xfId="1" applyNumberFormat="1" applyFont="1" applyFill="1" applyBorder="1" applyAlignment="1">
      <alignment horizontal="center" vertical="center"/>
    </xf>
    <xf numFmtId="165" fontId="24" fillId="3" borderId="10" xfId="1" applyNumberFormat="1" applyFont="1" applyFill="1" applyBorder="1" applyAlignment="1">
      <alignment horizontal="center" vertical="center"/>
    </xf>
    <xf numFmtId="0" fontId="6" fillId="0" borderId="46" xfId="1" applyNumberFormat="1" applyFont="1" applyFill="1" applyBorder="1" applyAlignment="1">
      <alignment horizontal="center" vertical="center"/>
    </xf>
    <xf numFmtId="0" fontId="6" fillId="0" borderId="6" xfId="1" applyNumberFormat="1" applyFont="1" applyFill="1" applyBorder="1" applyAlignment="1">
      <alignment horizontal="center" vertical="center"/>
    </xf>
    <xf numFmtId="0" fontId="6" fillId="0" borderId="30" xfId="1" applyNumberFormat="1" applyFont="1" applyFill="1" applyBorder="1" applyAlignment="1">
      <alignment horizontal="center" vertical="center"/>
    </xf>
    <xf numFmtId="0" fontId="6" fillId="0" borderId="29" xfId="1" applyNumberFormat="1" applyFont="1" applyFill="1" applyBorder="1" applyAlignment="1">
      <alignment horizontal="center" vertical="center"/>
    </xf>
    <xf numFmtId="0" fontId="6" fillId="5" borderId="24" xfId="1" applyNumberFormat="1" applyFont="1" applyFill="1" applyBorder="1" applyAlignment="1">
      <alignment horizontal="center" vertical="center"/>
    </xf>
    <xf numFmtId="0" fontId="6" fillId="5" borderId="10" xfId="1" applyNumberFormat="1" applyFont="1" applyFill="1" applyBorder="1" applyAlignment="1">
      <alignment horizontal="center" vertical="center"/>
    </xf>
    <xf numFmtId="49" fontId="10" fillId="3" borderId="13" xfId="0" applyNumberFormat="1" applyFont="1" applyFill="1" applyBorder="1" applyAlignment="1">
      <alignment horizontal="center" vertical="center" wrapText="1"/>
    </xf>
    <xf numFmtId="165" fontId="24" fillId="3" borderId="13" xfId="1" applyNumberFormat="1" applyFont="1" applyFill="1" applyBorder="1" applyAlignment="1">
      <alignment horizontal="center" vertical="center"/>
    </xf>
    <xf numFmtId="0" fontId="6" fillId="0" borderId="38" xfId="1" applyNumberFormat="1" applyFont="1" applyFill="1" applyBorder="1" applyAlignment="1">
      <alignment horizontal="center" vertical="center"/>
    </xf>
    <xf numFmtId="0" fontId="6" fillId="0" borderId="26" xfId="1" applyNumberFormat="1" applyFont="1" applyFill="1" applyBorder="1" applyAlignment="1">
      <alignment horizontal="center" vertical="center"/>
    </xf>
    <xf numFmtId="0" fontId="6" fillId="0" borderId="27" xfId="1" applyNumberFormat="1" applyFont="1" applyFill="1" applyBorder="1" applyAlignment="1">
      <alignment horizontal="center" vertical="center"/>
    </xf>
    <xf numFmtId="0" fontId="6" fillId="0" borderId="25" xfId="1" applyNumberFormat="1" applyFont="1" applyFill="1" applyBorder="1" applyAlignment="1">
      <alignment horizontal="center" vertical="center"/>
    </xf>
    <xf numFmtId="0" fontId="6" fillId="5" borderId="12" xfId="1" applyNumberFormat="1" applyFont="1" applyFill="1" applyBorder="1" applyAlignment="1">
      <alignment horizontal="center" vertical="center"/>
    </xf>
    <xf numFmtId="0" fontId="6" fillId="5" borderId="13" xfId="1" applyNumberFormat="1" applyFont="1" applyFill="1" applyBorder="1" applyAlignment="1">
      <alignment horizontal="center" vertical="center"/>
    </xf>
    <xf numFmtId="49" fontId="10" fillId="3" borderId="7" xfId="0" applyNumberFormat="1" applyFont="1" applyFill="1" applyBorder="1" applyAlignment="1">
      <alignment horizontal="center" vertical="center" wrapText="1"/>
    </xf>
    <xf numFmtId="14" fontId="24" fillId="0" borderId="28" xfId="1" applyNumberFormat="1" applyFont="1" applyFill="1" applyBorder="1" applyAlignment="1">
      <alignment horizontal="center" vertical="center"/>
    </xf>
    <xf numFmtId="165" fontId="24" fillId="3" borderId="8" xfId="1" applyNumberFormat="1" applyFont="1" applyFill="1" applyBorder="1" applyAlignment="1">
      <alignment horizontal="center" vertical="center"/>
    </xf>
    <xf numFmtId="0" fontId="6" fillId="9" borderId="19" xfId="1" applyNumberFormat="1" applyFont="1" applyFill="1" applyBorder="1" applyAlignment="1">
      <alignment horizontal="center" vertical="center"/>
    </xf>
    <xf numFmtId="0" fontId="6" fillId="9" borderId="20" xfId="1" applyNumberFormat="1" applyFont="1" applyFill="1" applyBorder="1" applyAlignment="1">
      <alignment horizontal="center" vertical="center"/>
    </xf>
    <xf numFmtId="0" fontId="6" fillId="9" borderId="43" xfId="1" applyNumberFormat="1" applyFont="1" applyFill="1" applyBorder="1" applyAlignment="1">
      <alignment horizontal="center" vertical="center"/>
    </xf>
    <xf numFmtId="0" fontId="6" fillId="0" borderId="19" xfId="1" applyNumberFormat="1" applyFont="1" applyFill="1" applyBorder="1" applyAlignment="1">
      <alignment horizontal="center" vertical="center"/>
    </xf>
    <xf numFmtId="0" fontId="6" fillId="0" borderId="20" xfId="1" applyNumberFormat="1" applyFont="1" applyFill="1" applyBorder="1" applyAlignment="1">
      <alignment horizontal="center" vertical="center"/>
    </xf>
    <xf numFmtId="0" fontId="6" fillId="0" borderId="43" xfId="1" applyNumberFormat="1" applyFont="1" applyFill="1" applyBorder="1" applyAlignment="1">
      <alignment horizontal="center" vertical="center"/>
    </xf>
    <xf numFmtId="0" fontId="6" fillId="0" borderId="21" xfId="1" applyNumberFormat="1" applyFont="1" applyFill="1" applyBorder="1" applyAlignment="1">
      <alignment horizontal="center" vertical="center"/>
    </xf>
    <xf numFmtId="0" fontId="6" fillId="0" borderId="45" xfId="1" applyNumberFormat="1" applyFont="1" applyFill="1" applyBorder="1" applyAlignment="1">
      <alignment horizontal="center" vertical="center"/>
    </xf>
    <xf numFmtId="0" fontId="6" fillId="5" borderId="8" xfId="1" applyNumberFormat="1" applyFont="1" applyFill="1" applyBorder="1" applyAlignment="1">
      <alignment horizontal="center" vertical="center"/>
    </xf>
    <xf numFmtId="49" fontId="10" fillId="3" borderId="9" xfId="0" applyNumberFormat="1" applyFont="1" applyFill="1" applyBorder="1" applyAlignment="1">
      <alignment horizontal="center" vertical="center" wrapText="1"/>
    </xf>
    <xf numFmtId="0" fontId="6" fillId="9" borderId="29" xfId="1" applyNumberFormat="1" applyFont="1" applyFill="1" applyBorder="1" applyAlignment="1">
      <alignment horizontal="center" vertical="center"/>
    </xf>
    <xf numFmtId="0" fontId="6" fillId="9" borderId="6" xfId="1" applyNumberFormat="1" applyFont="1" applyFill="1" applyBorder="1" applyAlignment="1">
      <alignment horizontal="center" vertical="center"/>
    </xf>
    <xf numFmtId="0" fontId="6" fillId="9" borderId="33" xfId="1" applyNumberFormat="1" applyFont="1" applyFill="1" applyBorder="1" applyAlignment="1">
      <alignment horizontal="center" vertical="center"/>
    </xf>
    <xf numFmtId="0" fontId="6" fillId="0" borderId="33" xfId="1" applyNumberFormat="1" applyFont="1" applyFill="1" applyBorder="1" applyAlignment="1">
      <alignment horizontal="center" vertical="center"/>
    </xf>
    <xf numFmtId="14" fontId="1" fillId="0" borderId="8" xfId="0" applyNumberFormat="1" applyFont="1" applyBorder="1" applyAlignment="1">
      <alignment horizontal="center"/>
    </xf>
    <xf numFmtId="165" fontId="24" fillId="3" borderId="7" xfId="1" applyNumberFormat="1" applyFont="1" applyFill="1" applyBorder="1" applyAlignment="1">
      <alignment horizontal="center" vertical="center"/>
    </xf>
    <xf numFmtId="0" fontId="6" fillId="9" borderId="41" xfId="1" applyNumberFormat="1" applyFont="1" applyFill="1" applyBorder="1" applyAlignment="1">
      <alignment horizontal="center" vertical="center"/>
    </xf>
    <xf numFmtId="0" fontId="6" fillId="9" borderId="14" xfId="1" applyNumberFormat="1" applyFont="1" applyFill="1" applyBorder="1" applyAlignment="1">
      <alignment horizontal="center" vertical="center"/>
    </xf>
    <xf numFmtId="0" fontId="6" fillId="9" borderId="39" xfId="1" applyNumberFormat="1" applyFont="1" applyFill="1" applyBorder="1" applyAlignment="1">
      <alignment horizontal="center" vertical="center"/>
    </xf>
    <xf numFmtId="0" fontId="6" fillId="0" borderId="40" xfId="1" applyNumberFormat="1" applyFont="1" applyFill="1" applyBorder="1" applyAlignment="1">
      <alignment horizontal="center" vertical="center"/>
    </xf>
    <xf numFmtId="0" fontId="6" fillId="0" borderId="14" xfId="1" applyNumberFormat="1" applyFont="1" applyFill="1" applyBorder="1" applyAlignment="1">
      <alignment horizontal="center" vertical="center"/>
    </xf>
    <xf numFmtId="0" fontId="6" fillId="0" borderId="32" xfId="1" applyNumberFormat="1" applyFont="1" applyFill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/>
    </xf>
    <xf numFmtId="165" fontId="24" fillId="3" borderId="9" xfId="1" applyNumberFormat="1" applyFont="1" applyFill="1" applyBorder="1" applyAlignment="1">
      <alignment horizontal="center" vertical="center"/>
    </xf>
    <xf numFmtId="165" fontId="24" fillId="3" borderId="24" xfId="1" applyNumberFormat="1" applyFont="1" applyFill="1" applyBorder="1" applyAlignment="1">
      <alignment horizontal="center" vertical="center"/>
    </xf>
    <xf numFmtId="165" fontId="24" fillId="3" borderId="34" xfId="1" applyNumberFormat="1" applyFont="1" applyFill="1" applyBorder="1" applyAlignment="1">
      <alignment horizontal="center" vertical="center"/>
    </xf>
    <xf numFmtId="0" fontId="6" fillId="0" borderId="22" xfId="1" applyNumberFormat="1" applyFont="1" applyFill="1" applyBorder="1" applyAlignment="1">
      <alignment horizontal="center" vertical="center"/>
    </xf>
    <xf numFmtId="0" fontId="6" fillId="5" borderId="34" xfId="1" applyNumberFormat="1" applyFont="1" applyFill="1" applyBorder="1" applyAlignment="1">
      <alignment horizontal="center" vertical="center"/>
    </xf>
    <xf numFmtId="0" fontId="6" fillId="5" borderId="23" xfId="1" applyNumberFormat="1" applyFont="1" applyFill="1" applyBorder="1" applyAlignment="1">
      <alignment horizontal="center" vertical="center"/>
    </xf>
    <xf numFmtId="165" fontId="24" fillId="3" borderId="18" xfId="1" applyNumberFormat="1" applyFont="1" applyFill="1" applyBorder="1" applyAlignment="1">
      <alignment horizontal="center" vertical="center"/>
    </xf>
    <xf numFmtId="0" fontId="6" fillId="5" borderId="28" xfId="1" applyNumberFormat="1" applyFont="1" applyFill="1" applyBorder="1" applyAlignment="1">
      <alignment horizontal="center" vertical="center"/>
    </xf>
    <xf numFmtId="14" fontId="1" fillId="0" borderId="34" xfId="0" applyNumberFormat="1" applyFont="1" applyBorder="1" applyAlignment="1">
      <alignment horizontal="center"/>
    </xf>
    <xf numFmtId="165" fontId="24" fillId="3" borderId="12" xfId="1" applyNumberFormat="1" applyFont="1" applyFill="1" applyBorder="1" applyAlignment="1">
      <alignment horizontal="center" vertical="center"/>
    </xf>
    <xf numFmtId="0" fontId="6" fillId="9" borderId="36" xfId="1" applyNumberFormat="1" applyFont="1" applyFill="1" applyBorder="1" applyAlignment="1">
      <alignment horizontal="center" vertical="center"/>
    </xf>
    <xf numFmtId="0" fontId="6" fillId="9" borderId="37" xfId="1" applyNumberFormat="1" applyFont="1" applyFill="1" applyBorder="1" applyAlignment="1">
      <alignment horizontal="center" vertical="center"/>
    </xf>
    <xf numFmtId="0" fontId="6" fillId="9" borderId="56" xfId="1" applyNumberFormat="1" applyFont="1" applyFill="1" applyBorder="1" applyAlignment="1">
      <alignment horizontal="center" vertical="center"/>
    </xf>
    <xf numFmtId="0" fontId="6" fillId="0" borderId="31" xfId="1" applyNumberFormat="1" applyFont="1" applyFill="1" applyBorder="1" applyAlignment="1">
      <alignment horizontal="center" vertical="center"/>
    </xf>
    <xf numFmtId="0" fontId="6" fillId="0" borderId="50" xfId="1" applyNumberFormat="1" applyFont="1" applyFill="1" applyBorder="1" applyAlignment="1">
      <alignment horizontal="center" vertical="center"/>
    </xf>
    <xf numFmtId="0" fontId="6" fillId="0" borderId="51" xfId="1" applyNumberFormat="1" applyFont="1" applyFill="1" applyBorder="1" applyAlignment="1">
      <alignment horizontal="center" vertical="center"/>
    </xf>
    <xf numFmtId="0" fontId="6" fillId="0" borderId="49" xfId="1" applyNumberFormat="1" applyFont="1" applyFill="1" applyBorder="1" applyAlignment="1">
      <alignment horizontal="center" vertical="center"/>
    </xf>
    <xf numFmtId="0" fontId="6" fillId="5" borderId="17" xfId="1" applyNumberFormat="1" applyFont="1" applyFill="1" applyBorder="1" applyAlignment="1">
      <alignment horizontal="center" vertical="center"/>
    </xf>
    <xf numFmtId="0" fontId="6" fillId="0" borderId="41" xfId="1" applyNumberFormat="1" applyFont="1" applyFill="1" applyBorder="1" applyAlignment="1">
      <alignment horizontal="center" vertical="center"/>
    </xf>
    <xf numFmtId="49" fontId="20" fillId="3" borderId="9" xfId="0" applyNumberFormat="1" applyFont="1" applyFill="1" applyBorder="1" applyAlignment="1">
      <alignment horizontal="center" vertical="center" wrapText="1"/>
    </xf>
    <xf numFmtId="14" fontId="25" fillId="0" borderId="10" xfId="0" applyNumberFormat="1" applyFont="1" applyBorder="1" applyAlignment="1">
      <alignment horizontal="center"/>
    </xf>
    <xf numFmtId="0" fontId="6" fillId="0" borderId="52" xfId="1" applyNumberFormat="1" applyFont="1" applyFill="1" applyBorder="1" applyAlignment="1">
      <alignment horizontal="center" vertical="center"/>
    </xf>
    <xf numFmtId="0" fontId="6" fillId="0" borderId="39" xfId="1" applyNumberFormat="1" applyFont="1" applyFill="1" applyBorder="1" applyAlignment="1">
      <alignment horizontal="center" vertical="center"/>
    </xf>
    <xf numFmtId="0" fontId="0" fillId="0" borderId="3" xfId="0" applyBorder="1"/>
    <xf numFmtId="0" fontId="23" fillId="4" borderId="4" xfId="1" applyNumberFormat="1" applyFont="1" applyFill="1" applyBorder="1" applyAlignment="1">
      <alignment horizontal="center" vertical="center"/>
    </xf>
    <xf numFmtId="165" fontId="23" fillId="4" borderId="4" xfId="1" applyNumberFormat="1" applyFont="1" applyFill="1" applyBorder="1" applyAlignment="1">
      <alignment horizontal="center" vertical="center" wrapText="1" shrinkToFit="1"/>
    </xf>
    <xf numFmtId="0" fontId="6" fillId="6" borderId="6" xfId="1" applyNumberFormat="1" applyFont="1" applyFill="1" applyBorder="1" applyAlignment="1">
      <alignment horizontal="center" vertical="center"/>
    </xf>
    <xf numFmtId="0" fontId="6" fillId="6" borderId="14" xfId="1" applyNumberFormat="1" applyFont="1" applyFill="1" applyBorder="1" applyAlignment="1">
      <alignment horizontal="center" vertical="center"/>
    </xf>
    <xf numFmtId="0" fontId="9" fillId="8" borderId="6" xfId="0" applyFont="1" applyFill="1" applyBorder="1" applyAlignment="1">
      <alignment horizontal="center" vertical="center" wrapText="1"/>
    </xf>
    <xf numFmtId="49" fontId="13" fillId="0" borderId="6" xfId="0" applyNumberFormat="1" applyFont="1" applyBorder="1" applyAlignment="1">
      <alignment horizontal="center" vertical="center" wrapText="1"/>
    </xf>
    <xf numFmtId="49" fontId="10" fillId="3" borderId="6" xfId="0" applyNumberFormat="1" applyFont="1" applyFill="1" applyBorder="1" applyAlignment="1">
      <alignment horizontal="center" vertical="center" wrapText="1"/>
    </xf>
    <xf numFmtId="165" fontId="24" fillId="3" borderId="6" xfId="1" applyNumberFormat="1" applyFont="1" applyFill="1" applyBorder="1" applyAlignment="1">
      <alignment horizontal="center" vertical="center"/>
    </xf>
    <xf numFmtId="0" fontId="6" fillId="5" borderId="6" xfId="1" applyNumberFormat="1" applyFont="1" applyFill="1" applyBorder="1" applyAlignment="1">
      <alignment horizontal="center" vertical="center"/>
    </xf>
    <xf numFmtId="2" fontId="6" fillId="0" borderId="6" xfId="1" applyNumberFormat="1" applyFont="1" applyFill="1" applyBorder="1" applyAlignment="1">
      <alignment horizontal="center" vertical="center"/>
    </xf>
    <xf numFmtId="0" fontId="9" fillId="0" borderId="6" xfId="0" applyFont="1" applyBorder="1" applyAlignment="1">
      <alignment horizontal="center" vertical="center" wrapText="1"/>
    </xf>
    <xf numFmtId="49" fontId="10" fillId="0" borderId="6" xfId="0" applyNumberFormat="1" applyFont="1" applyBorder="1" applyAlignment="1">
      <alignment horizontal="center" vertical="center" wrapText="1"/>
    </xf>
    <xf numFmtId="14" fontId="24" fillId="0" borderId="6" xfId="1" applyNumberFormat="1" applyFont="1" applyFill="1" applyBorder="1" applyAlignment="1">
      <alignment horizontal="center" vertical="center"/>
    </xf>
    <xf numFmtId="0" fontId="9" fillId="15" borderId="6" xfId="0" applyFont="1" applyFill="1" applyBorder="1" applyAlignment="1">
      <alignment horizontal="center" vertical="center" wrapText="1"/>
    </xf>
    <xf numFmtId="0" fontId="26" fillId="6" borderId="6" xfId="1" applyNumberFormat="1" applyFont="1" applyFill="1" applyBorder="1" applyAlignment="1">
      <alignment horizontal="center" vertical="center"/>
    </xf>
    <xf numFmtId="0" fontId="9" fillId="10" borderId="6" xfId="0" applyFont="1" applyFill="1" applyBorder="1" applyAlignment="1">
      <alignment horizontal="center" vertical="center" wrapText="1"/>
    </xf>
    <xf numFmtId="14" fontId="1" fillId="0" borderId="6" xfId="0" applyNumberFormat="1" applyFont="1" applyBorder="1" applyAlignment="1">
      <alignment horizontal="center"/>
    </xf>
    <xf numFmtId="0" fontId="9" fillId="9" borderId="6" xfId="0" applyFont="1" applyFill="1" applyBorder="1" applyAlignment="1">
      <alignment horizontal="center" vertical="center" wrapText="1"/>
    </xf>
    <xf numFmtId="0" fontId="9" fillId="16" borderId="6" xfId="0" applyFont="1" applyFill="1" applyBorder="1" applyAlignment="1">
      <alignment horizontal="center" vertical="center" wrapText="1"/>
    </xf>
    <xf numFmtId="0" fontId="9" fillId="11" borderId="6" xfId="0" applyFont="1" applyFill="1" applyBorder="1" applyAlignment="1">
      <alignment horizontal="center" vertical="center" wrapText="1"/>
    </xf>
    <xf numFmtId="0" fontId="18" fillId="0" borderId="6" xfId="0" applyFont="1" applyBorder="1" applyAlignment="1">
      <alignment horizontal="center" vertical="center" wrapText="1"/>
    </xf>
    <xf numFmtId="49" fontId="9" fillId="0" borderId="6" xfId="0" applyNumberFormat="1" applyFont="1" applyBorder="1" applyAlignment="1">
      <alignment horizontal="center" vertical="center" wrapText="1"/>
    </xf>
    <xf numFmtId="0" fontId="19" fillId="13" borderId="6" xfId="0" applyFont="1" applyFill="1" applyBorder="1" applyAlignment="1">
      <alignment horizontal="center" vertical="center" wrapText="1"/>
    </xf>
    <xf numFmtId="49" fontId="20" fillId="3" borderId="6" xfId="0" applyNumberFormat="1" applyFont="1" applyFill="1" applyBorder="1" applyAlignment="1">
      <alignment horizontal="center" vertical="center" wrapText="1"/>
    </xf>
    <xf numFmtId="14" fontId="25" fillId="0" borderId="6" xfId="0" applyNumberFormat="1" applyFont="1" applyBorder="1" applyAlignment="1">
      <alignment horizontal="center"/>
    </xf>
    <xf numFmtId="0" fontId="9" fillId="13" borderId="6" xfId="0" applyFont="1" applyFill="1" applyBorder="1" applyAlignment="1">
      <alignment horizontal="center" vertical="center" wrapText="1"/>
    </xf>
    <xf numFmtId="0" fontId="9" fillId="12" borderId="6" xfId="0" applyFont="1" applyFill="1" applyBorder="1" applyAlignment="1">
      <alignment horizontal="center" vertical="center" wrapText="1"/>
    </xf>
    <xf numFmtId="0" fontId="13" fillId="12" borderId="6" xfId="0" applyFont="1" applyFill="1" applyBorder="1" applyAlignment="1">
      <alignment horizontal="center" vertical="center" wrapText="1"/>
    </xf>
    <xf numFmtId="0" fontId="3" fillId="0" borderId="6" xfId="0" applyFont="1" applyBorder="1"/>
    <xf numFmtId="0" fontId="0" fillId="0" borderId="6" xfId="0" applyBorder="1"/>
    <xf numFmtId="0" fontId="23" fillId="4" borderId="6" xfId="1" applyNumberFormat="1" applyFont="1" applyFill="1" applyBorder="1" applyAlignment="1">
      <alignment horizontal="center" vertical="center"/>
    </xf>
    <xf numFmtId="165" fontId="23" fillId="4" borderId="6" xfId="1" applyNumberFormat="1" applyFont="1" applyFill="1" applyBorder="1" applyAlignment="1">
      <alignment horizontal="center" vertical="center" wrapText="1" shrinkToFit="1"/>
    </xf>
    <xf numFmtId="0" fontId="9" fillId="8" borderId="14" xfId="0" applyFont="1" applyFill="1" applyBorder="1" applyAlignment="1">
      <alignment horizontal="center" vertical="center" wrapText="1"/>
    </xf>
    <xf numFmtId="49" fontId="13" fillId="0" borderId="14" xfId="0" applyNumberFormat="1" applyFont="1" applyBorder="1" applyAlignment="1">
      <alignment horizontal="center" vertical="center" wrapText="1"/>
    </xf>
    <xf numFmtId="49" fontId="10" fillId="3" borderId="14" xfId="0" applyNumberFormat="1" applyFont="1" applyFill="1" applyBorder="1" applyAlignment="1">
      <alignment horizontal="center" vertical="center" wrapText="1"/>
    </xf>
    <xf numFmtId="0" fontId="10" fillId="0" borderId="14" xfId="0" applyFont="1" applyBorder="1" applyAlignment="1">
      <alignment horizontal="center" vertical="center" wrapText="1"/>
    </xf>
    <xf numFmtId="165" fontId="24" fillId="3" borderId="14" xfId="1" applyNumberFormat="1" applyFont="1" applyFill="1" applyBorder="1" applyAlignment="1">
      <alignment horizontal="center" vertical="center"/>
    </xf>
    <xf numFmtId="0" fontId="6" fillId="5" borderId="14" xfId="1" applyNumberFormat="1" applyFont="1" applyFill="1" applyBorder="1" applyAlignment="1">
      <alignment horizontal="center" vertical="center"/>
    </xf>
    <xf numFmtId="2" fontId="6" fillId="0" borderId="14" xfId="1" applyNumberFormat="1" applyFont="1" applyFill="1" applyBorder="1" applyAlignment="1">
      <alignment horizontal="center" vertical="center"/>
    </xf>
    <xf numFmtId="0" fontId="27" fillId="18" borderId="57" xfId="0" applyFont="1" applyFill="1" applyBorder="1" applyAlignment="1">
      <alignment vertical="center"/>
    </xf>
    <xf numFmtId="165" fontId="28" fillId="18" borderId="57" xfId="1" applyNumberFormat="1" applyFont="1" applyFill="1" applyBorder="1" applyAlignment="1">
      <alignment horizontal="right" vertical="center"/>
    </xf>
    <xf numFmtId="14" fontId="28" fillId="18" borderId="57" xfId="1" applyNumberFormat="1" applyFont="1" applyFill="1" applyBorder="1" applyAlignment="1">
      <alignment horizontal="center" vertical="center"/>
    </xf>
    <xf numFmtId="0" fontId="27" fillId="18" borderId="57" xfId="0" applyFont="1" applyFill="1" applyBorder="1" applyAlignment="1">
      <alignment horizontal="center" vertical="center"/>
    </xf>
    <xf numFmtId="0" fontId="29" fillId="18" borderId="57" xfId="0" applyFont="1" applyFill="1" applyBorder="1" applyAlignment="1">
      <alignment horizontal="center" vertical="center"/>
    </xf>
    <xf numFmtId="166" fontId="29" fillId="18" borderId="57" xfId="1" applyNumberFormat="1" applyFont="1" applyFill="1" applyBorder="1" applyAlignment="1">
      <alignment horizontal="center" vertical="center"/>
    </xf>
    <xf numFmtId="165" fontId="29" fillId="18" borderId="57" xfId="1" applyNumberFormat="1" applyFont="1" applyFill="1" applyBorder="1" applyAlignment="1">
      <alignment horizontal="center" vertical="center" wrapText="1"/>
    </xf>
    <xf numFmtId="0" fontId="27" fillId="18" borderId="6" xfId="0" applyFont="1" applyFill="1" applyBorder="1" applyAlignment="1">
      <alignment vertical="center"/>
    </xf>
    <xf numFmtId="165" fontId="28" fillId="18" borderId="6" xfId="1" applyNumberFormat="1" applyFont="1" applyFill="1" applyBorder="1" applyAlignment="1">
      <alignment horizontal="right" vertical="center"/>
    </xf>
    <xf numFmtId="14" fontId="28" fillId="18" borderId="6" xfId="1" applyNumberFormat="1" applyFont="1" applyFill="1" applyBorder="1" applyAlignment="1">
      <alignment horizontal="center" vertical="center"/>
    </xf>
    <xf numFmtId="0" fontId="27" fillId="18" borderId="6" xfId="0" applyFont="1" applyFill="1" applyBorder="1" applyAlignment="1">
      <alignment horizontal="center" vertical="center"/>
    </xf>
    <xf numFmtId="0" fontId="29" fillId="18" borderId="6" xfId="0" applyFont="1" applyFill="1" applyBorder="1" applyAlignment="1">
      <alignment horizontal="center" vertical="center"/>
    </xf>
    <xf numFmtId="166" fontId="29" fillId="18" borderId="6" xfId="1" applyNumberFormat="1" applyFont="1" applyFill="1" applyBorder="1" applyAlignment="1">
      <alignment horizontal="center" vertical="center"/>
    </xf>
    <xf numFmtId="165" fontId="29" fillId="18" borderId="6" xfId="1" applyNumberFormat="1" applyFont="1" applyFill="1" applyBorder="1" applyAlignment="1">
      <alignment horizontal="center" vertical="center" wrapText="1"/>
    </xf>
    <xf numFmtId="0" fontId="10" fillId="0" borderId="6" xfId="0" applyFont="1" applyBorder="1" applyAlignment="1">
      <alignment horizontal="center" vertical="center" wrapText="1"/>
    </xf>
    <xf numFmtId="0" fontId="9" fillId="7" borderId="6" xfId="0" applyFont="1" applyFill="1" applyBorder="1" applyAlignment="1">
      <alignment horizontal="center" vertical="center" wrapText="1"/>
    </xf>
    <xf numFmtId="0" fontId="6" fillId="0" borderId="58" xfId="1" applyNumberFormat="1" applyFont="1" applyFill="1" applyBorder="1" applyAlignment="1">
      <alignment horizontal="center" vertical="center"/>
    </xf>
    <xf numFmtId="0" fontId="6" fillId="0" borderId="48" xfId="1" applyNumberFormat="1" applyFont="1" applyFill="1" applyBorder="1" applyAlignment="1">
      <alignment horizontal="center" vertical="center"/>
    </xf>
    <xf numFmtId="0" fontId="6" fillId="0" borderId="59" xfId="1" applyNumberFormat="1" applyFont="1" applyFill="1" applyBorder="1" applyAlignment="1">
      <alignment horizontal="center" vertical="center"/>
    </xf>
    <xf numFmtId="165" fontId="30" fillId="3" borderId="6" xfId="1" applyNumberFormat="1" applyFont="1" applyFill="1" applyBorder="1" applyAlignment="1">
      <alignment horizontal="center" vertical="center"/>
    </xf>
    <xf numFmtId="165" fontId="10" fillId="3" borderId="6" xfId="1" applyNumberFormat="1" applyFont="1" applyFill="1" applyBorder="1" applyAlignment="1">
      <alignment horizontal="center" vertical="center"/>
    </xf>
    <xf numFmtId="14" fontId="1" fillId="0" borderId="6" xfId="0" applyNumberFormat="1" applyFont="1" applyBorder="1" applyAlignment="1">
      <alignment horizontal="center" vertical="center"/>
    </xf>
    <xf numFmtId="0" fontId="11" fillId="0" borderId="0" xfId="6" applyAlignment="1">
      <alignment horizontal="center" vertical="center"/>
    </xf>
    <xf numFmtId="0" fontId="11" fillId="0" borderId="0" xfId="6">
      <alignment vertical="center"/>
    </xf>
    <xf numFmtId="0" fontId="32" fillId="0" borderId="0" xfId="6" applyFont="1">
      <alignment vertical="center"/>
    </xf>
    <xf numFmtId="0" fontId="11" fillId="0" borderId="0" xfId="6" applyAlignment="1">
      <alignment horizontal="right" vertical="center"/>
    </xf>
    <xf numFmtId="14" fontId="11" fillId="0" borderId="0" xfId="6" applyNumberFormat="1">
      <alignment vertical="center"/>
    </xf>
    <xf numFmtId="0" fontId="31" fillId="19" borderId="6" xfId="6" applyFont="1" applyFill="1" applyBorder="1" applyAlignment="1">
      <alignment horizontal="center" vertical="center"/>
    </xf>
    <xf numFmtId="0" fontId="11" fillId="0" borderId="6" xfId="6" applyBorder="1" applyAlignment="1">
      <alignment horizontal="center" vertical="center"/>
    </xf>
    <xf numFmtId="0" fontId="31" fillId="0" borderId="6" xfId="6" applyFont="1" applyBorder="1" applyAlignment="1">
      <alignment horizontal="center" vertical="center"/>
    </xf>
    <xf numFmtId="0" fontId="31" fillId="0" borderId="61" xfId="6" applyFont="1" applyBorder="1">
      <alignment vertical="center"/>
    </xf>
    <xf numFmtId="0" fontId="11" fillId="0" borderId="0" xfId="6" applyAlignment="1">
      <alignment horizontal="left" vertical="top"/>
    </xf>
    <xf numFmtId="0" fontId="11" fillId="0" borderId="0" xfId="6" applyAlignment="1">
      <alignment horizontal="center" vertical="center"/>
    </xf>
    <xf numFmtId="0" fontId="11" fillId="0" borderId="26" xfId="6" applyBorder="1" applyAlignment="1">
      <alignment horizontal="center" vertical="center"/>
    </xf>
    <xf numFmtId="0" fontId="11" fillId="0" borderId="48" xfId="6" applyBorder="1" applyAlignment="1">
      <alignment horizontal="center" vertical="center"/>
    </xf>
    <xf numFmtId="167" fontId="31" fillId="0" borderId="33" xfId="6" applyNumberFormat="1" applyFont="1" applyBorder="1" applyAlignment="1">
      <alignment horizontal="center" vertical="center"/>
    </xf>
    <xf numFmtId="167" fontId="31" fillId="0" borderId="60" xfId="6" applyNumberFormat="1" applyFont="1" applyBorder="1" applyAlignment="1">
      <alignment horizontal="center" vertical="center"/>
    </xf>
    <xf numFmtId="167" fontId="31" fillId="0" borderId="46" xfId="6" applyNumberFormat="1" applyFont="1" applyBorder="1" applyAlignment="1">
      <alignment horizontal="center" vertical="center"/>
    </xf>
    <xf numFmtId="0" fontId="11" fillId="0" borderId="0" xfId="6" applyAlignment="1">
      <alignment horizontal="left" vertical="center" wrapText="1"/>
    </xf>
    <xf numFmtId="0" fontId="11" fillId="0" borderId="0" xfId="6" applyAlignment="1">
      <alignment horizontal="left" vertical="center"/>
    </xf>
    <xf numFmtId="0" fontId="11" fillId="0" borderId="0" xfId="6" applyAlignment="1">
      <alignment horizontal="center" vertical="center" wrapText="1"/>
    </xf>
    <xf numFmtId="0" fontId="31" fillId="0" borderId="0" xfId="6" applyFont="1" applyAlignment="1">
      <alignment horizontal="center" vertical="center"/>
    </xf>
    <xf numFmtId="0" fontId="32" fillId="0" borderId="0" xfId="6" applyFont="1" applyAlignment="1">
      <alignment horizontal="center" vertical="center"/>
    </xf>
    <xf numFmtId="14" fontId="11" fillId="0" borderId="0" xfId="6" applyNumberFormat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165" fontId="15" fillId="18" borderId="6" xfId="1" applyNumberFormat="1" applyFont="1" applyFill="1" applyBorder="1" applyAlignment="1">
      <alignment horizontal="center" vertical="center"/>
    </xf>
    <xf numFmtId="165" fontId="23" fillId="2" borderId="6" xfId="1" applyNumberFormat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165" fontId="15" fillId="18" borderId="57" xfId="1" applyNumberFormat="1" applyFont="1" applyFill="1" applyBorder="1" applyAlignment="1">
      <alignment horizontal="center" vertical="center"/>
    </xf>
    <xf numFmtId="0" fontId="1" fillId="3" borderId="14" xfId="0" applyFont="1" applyFill="1" applyBorder="1" applyAlignment="1">
      <alignment horizontal="center" vertical="center"/>
    </xf>
    <xf numFmtId="165" fontId="5" fillId="2" borderId="3" xfId="1" applyNumberFormat="1" applyFont="1" applyFill="1" applyBorder="1" applyAlignment="1">
      <alignment horizontal="center" vertical="center"/>
    </xf>
    <xf numFmtId="165" fontId="5" fillId="2" borderId="15" xfId="1" applyNumberFormat="1" applyFont="1" applyFill="1" applyBorder="1" applyAlignment="1">
      <alignment horizontal="center" vertical="center"/>
    </xf>
    <xf numFmtId="165" fontId="5" fillId="2" borderId="5" xfId="1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" fillId="3" borderId="35" xfId="0" applyFont="1" applyFill="1" applyBorder="1" applyAlignment="1">
      <alignment horizontal="center" vertical="center"/>
    </xf>
    <xf numFmtId="0" fontId="1" fillId="3" borderId="16" xfId="0" applyFont="1" applyFill="1" applyBorder="1" applyAlignment="1">
      <alignment horizontal="center" vertical="center"/>
    </xf>
    <xf numFmtId="0" fontId="1" fillId="3" borderId="23" xfId="0" applyFont="1" applyFill="1" applyBorder="1" applyAlignment="1">
      <alignment horizontal="center" vertical="center"/>
    </xf>
    <xf numFmtId="0" fontId="1" fillId="3" borderId="17" xfId="0" applyFont="1" applyFill="1" applyBorder="1" applyAlignment="1">
      <alignment horizontal="center" vertical="center"/>
    </xf>
    <xf numFmtId="165" fontId="23" fillId="2" borderId="3" xfId="1" applyNumberFormat="1" applyFont="1" applyFill="1" applyBorder="1" applyAlignment="1">
      <alignment horizontal="center" vertical="center"/>
    </xf>
    <xf numFmtId="165" fontId="23" fillId="2" borderId="5" xfId="1" applyNumberFormat="1" applyFont="1" applyFill="1" applyBorder="1" applyAlignment="1">
      <alignment horizontal="center" vertical="center"/>
    </xf>
  </cellXfs>
  <cellStyles count="7">
    <cellStyle name="HyperLink" xfId="4" xr:uid="{00000000-0005-0000-0000-000000000000}"/>
    <cellStyle name="Milliers" xfId="1" builtinId="3"/>
    <cellStyle name="Normal" xfId="0" builtinId="0"/>
    <cellStyle name="Normal 2" xfId="2" xr:uid="{00000000-0005-0000-0000-000003000000}"/>
    <cellStyle name="Normal 3" xfId="3" xr:uid="{00000000-0005-0000-0000-000004000000}"/>
    <cellStyle name="Normal 4" xfId="6" xr:uid="{00000000-0005-0000-0000-000005000000}"/>
    <cellStyle name="TableHeader" xfId="5" xr:uid="{00000000-0005-0000-0000-000006000000}"/>
  </cellStyles>
  <dxfs count="25">
    <dxf>
      <fill>
        <patternFill>
          <bgColor rgb="FF92D050"/>
        </patternFill>
      </fill>
    </dxf>
    <dxf>
      <fill>
        <patternFill>
          <bgColor theme="6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auto="1"/>
      </font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272BC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139826</xdr:colOff>
      <xdr:row>0</xdr:row>
      <xdr:rowOff>176747</xdr:rowOff>
    </xdr:from>
    <xdr:to>
      <xdr:col>11</xdr:col>
      <xdr:colOff>299196</xdr:colOff>
      <xdr:row>3</xdr:row>
      <xdr:rowOff>202521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FE320008-5798-4D33-9281-BE9D3703063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808326" y="176747"/>
          <a:ext cx="1233097" cy="77045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458974</xdr:colOff>
      <xdr:row>1</xdr:row>
      <xdr:rowOff>163285</xdr:rowOff>
    </xdr:from>
    <xdr:to>
      <xdr:col>13</xdr:col>
      <xdr:colOff>95250</xdr:colOff>
      <xdr:row>3</xdr:row>
      <xdr:rowOff>42421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4719260" y="530678"/>
          <a:ext cx="1799811" cy="11446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350117</xdr:colOff>
      <xdr:row>0</xdr:row>
      <xdr:rowOff>100052</xdr:rowOff>
    </xdr:from>
    <xdr:to>
      <xdr:col>11</xdr:col>
      <xdr:colOff>108857</xdr:colOff>
      <xdr:row>2</xdr:row>
      <xdr:rowOff>1194560</xdr:rowOff>
    </xdr:to>
    <xdr:pic>
      <xdr:nvPicPr>
        <xdr:cNvPr id="3" name="Image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1793724" y="100052"/>
          <a:ext cx="2017526" cy="1652401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579A4D-7819-48F7-AD6A-C878B149D387}">
  <sheetPr>
    <pageSetUpPr fitToPage="1"/>
  </sheetPr>
  <dimension ref="B6:F40"/>
  <sheetViews>
    <sheetView tabSelected="1" topLeftCell="A4" zoomScaleNormal="100" workbookViewId="0">
      <selection activeCell="B22" sqref="B22:E22"/>
    </sheetView>
  </sheetViews>
  <sheetFormatPr baseColWidth="10" defaultColWidth="11.5703125" defaultRowHeight="15" x14ac:dyDescent="0.25"/>
  <cols>
    <col min="1" max="1" width="11.5703125" style="180"/>
    <col min="2" max="2" width="46.5703125" style="179" bestFit="1" customWidth="1"/>
    <col min="3" max="4" width="11.5703125" style="179"/>
    <col min="5" max="5" width="42" style="179" customWidth="1"/>
    <col min="6" max="16384" width="11.5703125" style="180"/>
  </cols>
  <sheetData>
    <row r="6" spans="2:6" x14ac:dyDescent="0.25">
      <c r="B6" s="198" t="s">
        <v>106</v>
      </c>
      <c r="C6" s="198"/>
      <c r="D6" s="198"/>
      <c r="E6" s="198"/>
      <c r="F6" s="179"/>
    </row>
    <row r="7" spans="2:6" x14ac:dyDescent="0.25">
      <c r="B7" s="189" t="s">
        <v>107</v>
      </c>
      <c r="C7" s="189"/>
      <c r="D7" s="189"/>
      <c r="E7" s="189"/>
    </row>
    <row r="8" spans="2:6" x14ac:dyDescent="0.25">
      <c r="B8" s="189"/>
      <c r="C8" s="189"/>
      <c r="D8" s="189"/>
      <c r="E8" s="189"/>
    </row>
    <row r="9" spans="2:6" ht="73.150000000000006" customHeight="1" x14ac:dyDescent="0.25"/>
    <row r="10" spans="2:6" ht="18.75" x14ac:dyDescent="0.25">
      <c r="B10" s="199" t="s">
        <v>108</v>
      </c>
      <c r="C10" s="199"/>
      <c r="D10" s="199"/>
      <c r="E10" s="199"/>
      <c r="F10" s="181"/>
    </row>
    <row r="11" spans="2:6" x14ac:dyDescent="0.25">
      <c r="B11" s="182" t="s">
        <v>109</v>
      </c>
      <c r="C11" s="200">
        <f ca="1">TODAY()</f>
        <v>46314</v>
      </c>
      <c r="D11" s="200"/>
      <c r="E11" s="183"/>
    </row>
    <row r="13" spans="2:6" ht="40.9" customHeight="1" x14ac:dyDescent="0.25">
      <c r="B13" s="198" t="s">
        <v>110</v>
      </c>
      <c r="C13" s="189"/>
      <c r="D13" s="189"/>
      <c r="E13" s="189"/>
    </row>
    <row r="14" spans="2:6" x14ac:dyDescent="0.25">
      <c r="B14" s="189" t="s">
        <v>111</v>
      </c>
      <c r="C14" s="189"/>
    </row>
    <row r="16" spans="2:6" ht="21" customHeight="1" x14ac:dyDescent="0.25">
      <c r="B16" s="184" t="s">
        <v>112</v>
      </c>
      <c r="C16" s="184" t="s">
        <v>113</v>
      </c>
      <c r="D16" s="184" t="s">
        <v>114</v>
      </c>
      <c r="E16" s="184" t="s">
        <v>115</v>
      </c>
    </row>
    <row r="17" spans="2:5" ht="21" customHeight="1" x14ac:dyDescent="0.25">
      <c r="B17" s="190" t="s">
        <v>116</v>
      </c>
      <c r="C17" s="185" t="s">
        <v>117</v>
      </c>
      <c r="D17" s="185">
        <v>1800</v>
      </c>
      <c r="E17" s="185" t="s">
        <v>118</v>
      </c>
    </row>
    <row r="18" spans="2:5" ht="21" customHeight="1" x14ac:dyDescent="0.25">
      <c r="B18" s="191"/>
      <c r="C18" s="185" t="s">
        <v>119</v>
      </c>
      <c r="D18" s="185">
        <v>1800</v>
      </c>
      <c r="E18" s="185" t="s">
        <v>118</v>
      </c>
    </row>
    <row r="19" spans="2:5" ht="19.5" customHeight="1" x14ac:dyDescent="0.25">
      <c r="B19" s="186" t="s">
        <v>120</v>
      </c>
      <c r="C19" s="192">
        <f>SUM(D17:D18)</f>
        <v>3600</v>
      </c>
      <c r="D19" s="193"/>
      <c r="E19" s="194"/>
    </row>
    <row r="20" spans="2:5" ht="18.75" customHeight="1" x14ac:dyDescent="0.25">
      <c r="B20" s="180" t="s">
        <v>121</v>
      </c>
      <c r="C20" s="187"/>
      <c r="D20" s="187"/>
      <c r="E20" s="187"/>
    </row>
    <row r="21" spans="2:5" ht="47.25" customHeight="1" x14ac:dyDescent="0.25"/>
    <row r="22" spans="2:5" ht="43.15" customHeight="1" x14ac:dyDescent="0.25">
      <c r="B22" s="195" t="s">
        <v>122</v>
      </c>
      <c r="C22" s="195"/>
      <c r="D22" s="195"/>
      <c r="E22" s="195"/>
    </row>
    <row r="23" spans="2:5" x14ac:dyDescent="0.25">
      <c r="B23" s="196" t="s">
        <v>123</v>
      </c>
      <c r="C23" s="196"/>
      <c r="D23" s="196"/>
      <c r="E23" s="196"/>
    </row>
    <row r="24" spans="2:5" x14ac:dyDescent="0.25">
      <c r="B24" s="188" t="s">
        <v>124</v>
      </c>
    </row>
    <row r="39" spans="2:5" x14ac:dyDescent="0.25">
      <c r="B39" s="197" t="s">
        <v>125</v>
      </c>
      <c r="C39" s="197"/>
      <c r="D39" s="197"/>
      <c r="E39" s="197"/>
    </row>
    <row r="40" spans="2:5" x14ac:dyDescent="0.25">
      <c r="B40" s="197"/>
      <c r="C40" s="197"/>
      <c r="D40" s="197"/>
      <c r="E40" s="197"/>
    </row>
  </sheetData>
  <mergeCells count="12">
    <mergeCell ref="B39:E40"/>
    <mergeCell ref="B6:E6"/>
    <mergeCell ref="B7:E7"/>
    <mergeCell ref="B8:E8"/>
    <mergeCell ref="B10:E10"/>
    <mergeCell ref="C11:D11"/>
    <mergeCell ref="B13:E13"/>
    <mergeCell ref="B14:C14"/>
    <mergeCell ref="B17:B18"/>
    <mergeCell ref="C19:E19"/>
    <mergeCell ref="B22:E22"/>
    <mergeCell ref="B23:E23"/>
  </mergeCells>
  <pageMargins left="0.31496062992125984" right="0.31496062992125984" top="0.74803149606299213" bottom="0.15748031496062992" header="0.31496062992125984" footer="0.31496062992125984"/>
  <pageSetup paperSize="11" scale="53" orientation="portrait" r:id="rId1"/>
  <headerFooter>
    <oddFooter xml:space="preserve">&amp;C     GUANXI MAROC SARLAU au capital 100000.00DH .13, Rue AHMED EL MAJJATI RES.LES ALPES 1er ETAGE N°8.QUARTIER MAARIF.CASABLANCA   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0C010-E619-4689-B77F-51375FE5DACE}">
  <dimension ref="A1:AA45"/>
  <sheetViews>
    <sheetView topLeftCell="A3" zoomScale="55" zoomScaleNormal="55" workbookViewId="0">
      <selection activeCell="N47" sqref="N47"/>
    </sheetView>
  </sheetViews>
  <sheetFormatPr baseColWidth="10" defaultColWidth="9.140625" defaultRowHeight="15" x14ac:dyDescent="0.25"/>
  <cols>
    <col min="1" max="1" width="3.5703125" customWidth="1"/>
    <col min="2" max="2" width="50.7109375" bestFit="1" customWidth="1"/>
    <col min="3" max="3" width="28.7109375" bestFit="1" customWidth="1"/>
    <col min="4" max="4" width="31" bestFit="1" customWidth="1"/>
    <col min="5" max="5" width="9.28515625" customWidth="1"/>
    <col min="6" max="6" width="28" customWidth="1"/>
    <col min="7" max="9" width="17.28515625" bestFit="1" customWidth="1"/>
    <col min="10" max="10" width="16.42578125" bestFit="1" customWidth="1"/>
    <col min="11" max="11" width="16.140625" bestFit="1" customWidth="1"/>
    <col min="12" max="12" width="16.28515625" bestFit="1" customWidth="1"/>
    <col min="13" max="13" width="16.42578125" bestFit="1" customWidth="1"/>
    <col min="14" max="14" width="14.28515625" customWidth="1"/>
    <col min="15" max="15" width="15.140625" customWidth="1"/>
    <col min="16" max="16" width="16.85546875" customWidth="1"/>
    <col min="17" max="17" width="12.85546875" customWidth="1"/>
    <col min="18" max="18" width="13.140625" customWidth="1"/>
    <col min="19" max="19" width="21.5703125" bestFit="1" customWidth="1"/>
    <col min="20" max="20" width="21.42578125" customWidth="1"/>
    <col min="21" max="21" width="24.85546875" bestFit="1" customWidth="1"/>
    <col min="22" max="22" width="27" customWidth="1"/>
    <col min="27" max="27" width="9.5703125" bestFit="1" customWidth="1"/>
  </cols>
  <sheetData>
    <row r="1" spans="2:22" ht="28.5" customHeight="1" x14ac:dyDescent="0.25"/>
    <row r="4" spans="2:22" ht="48.75" customHeight="1" x14ac:dyDescent="0.25"/>
    <row r="5" spans="2:22" ht="42.75" customHeight="1" x14ac:dyDescent="0.25">
      <c r="B5" s="164"/>
      <c r="C5" s="164"/>
      <c r="D5" s="164"/>
      <c r="E5" s="202" t="s">
        <v>100</v>
      </c>
      <c r="F5" s="202"/>
      <c r="G5" s="202"/>
      <c r="H5" s="202"/>
      <c r="I5" s="202"/>
      <c r="J5" s="202"/>
      <c r="K5" s="202"/>
      <c r="L5" s="202"/>
      <c r="M5" s="202"/>
      <c r="N5" s="202"/>
      <c r="O5" s="202"/>
      <c r="P5" s="202"/>
      <c r="Q5" s="202"/>
      <c r="R5" s="202"/>
      <c r="S5" s="165" t="s">
        <v>4</v>
      </c>
      <c r="T5" s="165"/>
      <c r="U5" s="166">
        <f ca="1">TODAY()</f>
        <v>46314</v>
      </c>
      <c r="V5" s="166"/>
    </row>
    <row r="6" spans="2:22" ht="44.25" customHeight="1" x14ac:dyDescent="0.25">
      <c r="B6" s="167" t="s">
        <v>5</v>
      </c>
      <c r="C6" s="167" t="s">
        <v>6</v>
      </c>
      <c r="D6" s="167" t="s">
        <v>8</v>
      </c>
      <c r="E6" s="167" t="s">
        <v>9</v>
      </c>
      <c r="F6" s="168" t="s">
        <v>10</v>
      </c>
      <c r="G6" s="169">
        <v>46023</v>
      </c>
      <c r="H6" s="169">
        <v>46054</v>
      </c>
      <c r="I6" s="169">
        <v>46082</v>
      </c>
      <c r="J6" s="169">
        <v>46113</v>
      </c>
      <c r="K6" s="169">
        <v>46143</v>
      </c>
      <c r="L6" s="169">
        <v>46174</v>
      </c>
      <c r="M6" s="169">
        <v>46204</v>
      </c>
      <c r="N6" s="169">
        <v>46235</v>
      </c>
      <c r="O6" s="169">
        <v>46266</v>
      </c>
      <c r="P6" s="169">
        <v>46296</v>
      </c>
      <c r="Q6" s="169">
        <v>46327</v>
      </c>
      <c r="R6" s="169">
        <v>46357</v>
      </c>
      <c r="S6" s="170" t="s">
        <v>91</v>
      </c>
      <c r="T6" s="170" t="s">
        <v>99</v>
      </c>
      <c r="U6" s="170" t="s">
        <v>98</v>
      </c>
      <c r="V6" s="170" t="s">
        <v>93</v>
      </c>
    </row>
    <row r="7" spans="2:22" ht="24.95" customHeight="1" x14ac:dyDescent="0.25">
      <c r="B7" s="122" t="s">
        <v>12</v>
      </c>
      <c r="C7" s="123"/>
      <c r="D7" s="171"/>
      <c r="E7" s="201" t="s">
        <v>14</v>
      </c>
      <c r="F7" s="125" t="s">
        <v>15</v>
      </c>
      <c r="G7" s="55">
        <v>0</v>
      </c>
      <c r="H7" s="55">
        <v>0</v>
      </c>
      <c r="I7" s="55">
        <v>0</v>
      </c>
      <c r="J7" s="55">
        <v>0</v>
      </c>
      <c r="K7" s="55">
        <v>0</v>
      </c>
      <c r="L7" s="55">
        <v>0</v>
      </c>
      <c r="M7" s="55">
        <v>0</v>
      </c>
      <c r="N7" s="55">
        <v>0</v>
      </c>
      <c r="O7" s="55">
        <v>0</v>
      </c>
      <c r="P7" s="55">
        <v>0</v>
      </c>
      <c r="Q7" s="55">
        <v>0</v>
      </c>
      <c r="R7" s="55">
        <v>0</v>
      </c>
      <c r="S7" s="126">
        <v>0</v>
      </c>
      <c r="T7" s="126">
        <f>-(1800-S7)</f>
        <v>-1800</v>
      </c>
      <c r="U7" s="127">
        <f>'Cotisation 2025'!U7</f>
        <v>0</v>
      </c>
      <c r="V7" s="127">
        <f>'Cotisation 2025'!V7</f>
        <v>0</v>
      </c>
    </row>
    <row r="8" spans="2:22" ht="24.95" customHeight="1" x14ac:dyDescent="0.25">
      <c r="B8" s="128" t="s">
        <v>16</v>
      </c>
      <c r="C8" s="129" t="s">
        <v>17</v>
      </c>
      <c r="D8" s="130">
        <v>45313</v>
      </c>
      <c r="E8" s="201"/>
      <c r="F8" s="125" t="s">
        <v>18</v>
      </c>
      <c r="G8" s="55">
        <v>0</v>
      </c>
      <c r="H8" s="55">
        <v>0</v>
      </c>
      <c r="I8" s="55">
        <v>0</v>
      </c>
      <c r="J8" s="55">
        <v>0</v>
      </c>
      <c r="K8" s="55">
        <v>0</v>
      </c>
      <c r="L8" s="55">
        <v>0</v>
      </c>
      <c r="M8" s="55">
        <v>0</v>
      </c>
      <c r="N8" s="55">
        <v>0</v>
      </c>
      <c r="O8" s="55">
        <v>0</v>
      </c>
      <c r="P8" s="55">
        <v>0</v>
      </c>
      <c r="Q8" s="55">
        <v>0</v>
      </c>
      <c r="R8" s="55">
        <v>0</v>
      </c>
      <c r="S8" s="126">
        <f t="shared" ref="S8:S39" si="0">SUM(G8:R8)</f>
        <v>0</v>
      </c>
      <c r="T8" s="126">
        <f t="shared" ref="T8:T10" si="1">-(1800-S8)</f>
        <v>-1800</v>
      </c>
      <c r="U8" s="127">
        <f>'Cotisation 2025'!U8</f>
        <v>0</v>
      </c>
      <c r="V8" s="127">
        <f>'Cotisation 2025'!V8</f>
        <v>-1350</v>
      </c>
    </row>
    <row r="9" spans="2:22" ht="24.75" customHeight="1" x14ac:dyDescent="0.25">
      <c r="B9" s="128" t="s">
        <v>16</v>
      </c>
      <c r="C9" s="129" t="s">
        <v>17</v>
      </c>
      <c r="D9" s="130">
        <v>45987</v>
      </c>
      <c r="E9" s="201"/>
      <c r="F9" s="125" t="s">
        <v>20</v>
      </c>
      <c r="G9" s="55">
        <v>0</v>
      </c>
      <c r="H9" s="55">
        <v>0</v>
      </c>
      <c r="I9" s="55">
        <v>0</v>
      </c>
      <c r="J9" s="55">
        <v>0</v>
      </c>
      <c r="K9" s="55">
        <v>0</v>
      </c>
      <c r="L9" s="55">
        <v>0</v>
      </c>
      <c r="M9" s="55">
        <v>0</v>
      </c>
      <c r="N9" s="55">
        <v>0</v>
      </c>
      <c r="O9" s="55">
        <v>0</v>
      </c>
      <c r="P9" s="55">
        <v>0</v>
      </c>
      <c r="Q9" s="55">
        <v>0</v>
      </c>
      <c r="R9" s="55">
        <v>0</v>
      </c>
      <c r="S9" s="126">
        <f t="shared" si="0"/>
        <v>0</v>
      </c>
      <c r="T9" s="126">
        <f t="shared" si="1"/>
        <v>-1800</v>
      </c>
      <c r="U9" s="127">
        <f>'Cotisation 2025'!U9</f>
        <v>0</v>
      </c>
      <c r="V9" s="127">
        <f>'Cotisation 2025'!V9</f>
        <v>0</v>
      </c>
    </row>
    <row r="10" spans="2:22" ht="24.95" customHeight="1" x14ac:dyDescent="0.25">
      <c r="B10" s="122" t="s">
        <v>12</v>
      </c>
      <c r="C10" s="123"/>
      <c r="D10" s="130"/>
      <c r="E10" s="201"/>
      <c r="F10" s="125" t="s">
        <v>21</v>
      </c>
      <c r="G10" s="55">
        <v>0</v>
      </c>
      <c r="H10" s="55">
        <v>0</v>
      </c>
      <c r="I10" s="55">
        <v>0</v>
      </c>
      <c r="J10" s="55">
        <v>0</v>
      </c>
      <c r="K10" s="55">
        <v>0</v>
      </c>
      <c r="L10" s="55">
        <v>0</v>
      </c>
      <c r="M10" s="55">
        <v>0</v>
      </c>
      <c r="N10" s="55">
        <v>0</v>
      </c>
      <c r="O10" s="55">
        <v>0</v>
      </c>
      <c r="P10" s="55">
        <v>0</v>
      </c>
      <c r="Q10" s="55">
        <v>0</v>
      </c>
      <c r="R10" s="55">
        <v>0</v>
      </c>
      <c r="S10" s="126">
        <f t="shared" si="0"/>
        <v>0</v>
      </c>
      <c r="T10" s="126">
        <f t="shared" si="1"/>
        <v>-1800</v>
      </c>
      <c r="U10" s="127">
        <f>'Cotisation 2025'!U10</f>
        <v>0</v>
      </c>
      <c r="V10" s="127">
        <f>'Cotisation 2025'!V10</f>
        <v>0</v>
      </c>
    </row>
    <row r="11" spans="2:22" ht="24.95" customHeight="1" x14ac:dyDescent="0.25">
      <c r="B11" s="131" t="s">
        <v>22</v>
      </c>
      <c r="C11" s="129" t="s">
        <v>23</v>
      </c>
      <c r="D11" s="130">
        <v>44958</v>
      </c>
      <c r="E11" s="201">
        <v>1</v>
      </c>
      <c r="F11" s="125" t="s">
        <v>24</v>
      </c>
      <c r="G11" s="55">
        <v>300</v>
      </c>
      <c r="H11" s="55">
        <v>300</v>
      </c>
      <c r="I11" s="55">
        <v>300</v>
      </c>
      <c r="J11" s="55">
        <v>300</v>
      </c>
      <c r="K11" s="55">
        <v>300</v>
      </c>
      <c r="L11" s="55">
        <v>300</v>
      </c>
      <c r="M11" s="55">
        <v>300</v>
      </c>
      <c r="N11" s="55">
        <v>300</v>
      </c>
      <c r="O11" s="55">
        <v>300</v>
      </c>
      <c r="P11" s="55">
        <v>300</v>
      </c>
      <c r="Q11" s="55">
        <v>300</v>
      </c>
      <c r="R11" s="55">
        <v>300</v>
      </c>
      <c r="S11" s="126">
        <f>SUM(G11:R11)</f>
        <v>3600</v>
      </c>
      <c r="T11" s="126">
        <f>-(3600-S11)</f>
        <v>0</v>
      </c>
      <c r="U11" s="127">
        <f>'Cotisation 2025'!U11</f>
        <v>0</v>
      </c>
      <c r="V11" s="127">
        <f>'Cotisation 2025'!V11</f>
        <v>0</v>
      </c>
    </row>
    <row r="12" spans="2:22" ht="24.95" customHeight="1" x14ac:dyDescent="0.25">
      <c r="B12" s="133" t="s">
        <v>25</v>
      </c>
      <c r="C12" s="129" t="s">
        <v>26</v>
      </c>
      <c r="D12" s="130">
        <v>44813</v>
      </c>
      <c r="E12" s="201"/>
      <c r="F12" s="125" t="s">
        <v>27</v>
      </c>
      <c r="G12" s="55">
        <v>300</v>
      </c>
      <c r="H12" s="55">
        <v>300</v>
      </c>
      <c r="I12" s="55">
        <v>300</v>
      </c>
      <c r="J12" s="55">
        <v>300</v>
      </c>
      <c r="K12" s="55">
        <v>300</v>
      </c>
      <c r="L12" s="55">
        <v>300</v>
      </c>
      <c r="M12" s="55">
        <v>300</v>
      </c>
      <c r="N12" s="55">
        <v>300</v>
      </c>
      <c r="O12" s="55">
        <v>300</v>
      </c>
      <c r="P12" s="55">
        <v>300</v>
      </c>
      <c r="Q12" s="55">
        <v>300</v>
      </c>
      <c r="R12" s="55">
        <v>300</v>
      </c>
      <c r="S12" s="126">
        <f t="shared" si="0"/>
        <v>3600</v>
      </c>
      <c r="T12" s="126">
        <f t="shared" ref="T12:T39" si="2">-(3600-S12)</f>
        <v>0</v>
      </c>
      <c r="U12" s="127">
        <f>'Cotisation 2025'!U12</f>
        <v>0</v>
      </c>
      <c r="V12" s="127">
        <f>'Cotisation 2025'!V12</f>
        <v>0</v>
      </c>
    </row>
    <row r="13" spans="2:22" ht="28.15" customHeight="1" x14ac:dyDescent="0.25">
      <c r="B13" s="128" t="s">
        <v>28</v>
      </c>
      <c r="C13" s="129" t="s">
        <v>29</v>
      </c>
      <c r="D13" s="134">
        <v>44881</v>
      </c>
      <c r="E13" s="201"/>
      <c r="F13" s="125" t="s">
        <v>30</v>
      </c>
      <c r="G13" s="55">
        <v>300</v>
      </c>
      <c r="H13" s="55">
        <v>300</v>
      </c>
      <c r="I13" s="55">
        <v>300</v>
      </c>
      <c r="J13" s="55">
        <v>300</v>
      </c>
      <c r="K13" s="55">
        <v>300</v>
      </c>
      <c r="L13" s="55">
        <v>300</v>
      </c>
      <c r="M13" s="55">
        <v>300</v>
      </c>
      <c r="N13" s="55">
        <v>300</v>
      </c>
      <c r="O13" s="55">
        <v>300</v>
      </c>
      <c r="P13" s="55">
        <v>300</v>
      </c>
      <c r="Q13" s="55">
        <v>300</v>
      </c>
      <c r="R13" s="55">
        <v>300</v>
      </c>
      <c r="S13" s="126">
        <f t="shared" si="0"/>
        <v>3600</v>
      </c>
      <c r="T13" s="126">
        <f t="shared" si="2"/>
        <v>0</v>
      </c>
      <c r="U13" s="127">
        <f>'Cotisation 2025'!U13</f>
        <v>0</v>
      </c>
      <c r="V13" s="127">
        <f>'Cotisation 2025'!V13</f>
        <v>0</v>
      </c>
    </row>
    <row r="14" spans="2:22" ht="27.6" customHeight="1" x14ac:dyDescent="0.25">
      <c r="B14" s="128" t="s">
        <v>31</v>
      </c>
      <c r="C14" s="129" t="s">
        <v>94</v>
      </c>
      <c r="D14" s="134">
        <v>44838</v>
      </c>
      <c r="E14" s="201"/>
      <c r="F14" s="125" t="s">
        <v>33</v>
      </c>
      <c r="G14" s="55">
        <v>300</v>
      </c>
      <c r="H14" s="55">
        <v>300</v>
      </c>
      <c r="I14" s="55">
        <v>300</v>
      </c>
      <c r="J14" s="55">
        <v>300</v>
      </c>
      <c r="K14" s="55">
        <v>300</v>
      </c>
      <c r="L14" s="55">
        <v>300</v>
      </c>
      <c r="M14" s="55">
        <v>300</v>
      </c>
      <c r="N14" s="55">
        <v>300</v>
      </c>
      <c r="O14" s="55">
        <v>300</v>
      </c>
      <c r="P14" s="55">
        <v>300</v>
      </c>
      <c r="Q14" s="55">
        <v>300</v>
      </c>
      <c r="R14" s="55">
        <v>1000</v>
      </c>
      <c r="S14" s="126">
        <f t="shared" si="0"/>
        <v>4300</v>
      </c>
      <c r="T14" s="126">
        <f t="shared" si="2"/>
        <v>700</v>
      </c>
      <c r="U14" s="127">
        <f>'Cotisation 2025'!U14</f>
        <v>-1650</v>
      </c>
      <c r="V14" s="127">
        <f>'Cotisation 2025'!V14</f>
        <v>0</v>
      </c>
    </row>
    <row r="15" spans="2:22" ht="24.6" customHeight="1" x14ac:dyDescent="0.25">
      <c r="B15" s="135" t="s">
        <v>34</v>
      </c>
      <c r="C15" s="129" t="s">
        <v>35</v>
      </c>
      <c r="D15" s="134">
        <v>44833</v>
      </c>
      <c r="E15" s="201"/>
      <c r="F15" s="125" t="s">
        <v>36</v>
      </c>
      <c r="G15" s="55">
        <v>300</v>
      </c>
      <c r="H15" s="55">
        <v>300</v>
      </c>
      <c r="I15" s="55">
        <v>300</v>
      </c>
      <c r="J15" s="55">
        <v>300</v>
      </c>
      <c r="K15" s="55">
        <v>300</v>
      </c>
      <c r="L15" s="55">
        <v>300</v>
      </c>
      <c r="M15" s="55">
        <v>0</v>
      </c>
      <c r="N15" s="55">
        <v>0</v>
      </c>
      <c r="O15" s="55">
        <v>0</v>
      </c>
      <c r="P15" s="55">
        <v>0</v>
      </c>
      <c r="Q15" s="55">
        <v>0</v>
      </c>
      <c r="R15" s="55">
        <v>0</v>
      </c>
      <c r="S15" s="126">
        <f t="shared" si="0"/>
        <v>1800</v>
      </c>
      <c r="T15" s="126">
        <f t="shared" si="2"/>
        <v>-1800</v>
      </c>
      <c r="U15" s="127">
        <f>'Cotisation 2025'!U15</f>
        <v>0</v>
      </c>
      <c r="V15" s="127">
        <f>'Cotisation 2025'!V15</f>
        <v>0</v>
      </c>
    </row>
    <row r="16" spans="2:22" ht="24.95" customHeight="1" x14ac:dyDescent="0.25">
      <c r="B16" s="136" t="s">
        <v>37</v>
      </c>
      <c r="C16" s="129" t="s">
        <v>38</v>
      </c>
      <c r="D16" s="134">
        <v>45387</v>
      </c>
      <c r="E16" s="201"/>
      <c r="F16" s="125" t="s">
        <v>39</v>
      </c>
      <c r="G16" s="55">
        <v>300</v>
      </c>
      <c r="H16" s="55">
        <v>300</v>
      </c>
      <c r="I16" s="55">
        <v>300</v>
      </c>
      <c r="J16" s="55">
        <v>300</v>
      </c>
      <c r="K16" s="55">
        <v>300</v>
      </c>
      <c r="L16" s="55">
        <v>300</v>
      </c>
      <c r="M16" s="55">
        <v>300</v>
      </c>
      <c r="N16" s="55">
        <v>300</v>
      </c>
      <c r="O16" s="55">
        <v>300</v>
      </c>
      <c r="P16" s="55">
        <v>300</v>
      </c>
      <c r="Q16" s="55">
        <v>300</v>
      </c>
      <c r="R16" s="55">
        <v>300</v>
      </c>
      <c r="S16" s="126">
        <f t="shared" si="0"/>
        <v>3600</v>
      </c>
      <c r="T16" s="126">
        <f t="shared" si="2"/>
        <v>0</v>
      </c>
      <c r="U16" s="127">
        <f>'Cotisation 2025'!U16</f>
        <v>0</v>
      </c>
      <c r="V16" s="127">
        <f>'Cotisation 2025'!V16</f>
        <v>-1200</v>
      </c>
    </row>
    <row r="17" spans="1:27" ht="24.95" customHeight="1" x14ac:dyDescent="0.25">
      <c r="B17" s="131" t="s">
        <v>22</v>
      </c>
      <c r="C17" s="129" t="s">
        <v>23</v>
      </c>
      <c r="D17" s="134">
        <v>44958</v>
      </c>
      <c r="E17" s="201">
        <v>2</v>
      </c>
      <c r="F17" s="125" t="s">
        <v>40</v>
      </c>
      <c r="G17" s="55">
        <v>300</v>
      </c>
      <c r="H17" s="55">
        <v>300</v>
      </c>
      <c r="I17" s="55">
        <v>300</v>
      </c>
      <c r="J17" s="55">
        <v>300</v>
      </c>
      <c r="K17" s="55">
        <v>300</v>
      </c>
      <c r="L17" s="55">
        <v>300</v>
      </c>
      <c r="M17" s="55">
        <v>300</v>
      </c>
      <c r="N17" s="55">
        <v>300</v>
      </c>
      <c r="O17" s="55">
        <v>300</v>
      </c>
      <c r="P17" s="55">
        <v>300</v>
      </c>
      <c r="Q17" s="55">
        <v>300</v>
      </c>
      <c r="R17" s="55">
        <v>300</v>
      </c>
      <c r="S17" s="126">
        <f t="shared" si="0"/>
        <v>3600</v>
      </c>
      <c r="T17" s="126">
        <f t="shared" si="2"/>
        <v>0</v>
      </c>
      <c r="U17" s="127">
        <f>'Cotisation 2025'!U17</f>
        <v>0</v>
      </c>
      <c r="V17" s="127">
        <f>'Cotisation 2025'!V17</f>
        <v>0</v>
      </c>
    </row>
    <row r="18" spans="1:27" ht="24.75" customHeight="1" x14ac:dyDescent="0.25">
      <c r="A18" t="s">
        <v>103</v>
      </c>
      <c r="B18" s="128" t="s">
        <v>102</v>
      </c>
      <c r="C18" s="129" t="s">
        <v>42</v>
      </c>
      <c r="D18" s="178">
        <v>44813</v>
      </c>
      <c r="E18" s="201"/>
      <c r="F18" s="125" t="s">
        <v>43</v>
      </c>
      <c r="G18" s="55">
        <v>300</v>
      </c>
      <c r="H18" s="55">
        <v>300</v>
      </c>
      <c r="I18" s="55">
        <v>300</v>
      </c>
      <c r="J18" s="55">
        <v>300</v>
      </c>
      <c r="K18" s="55">
        <v>300</v>
      </c>
      <c r="L18" s="55">
        <v>300</v>
      </c>
      <c r="M18" s="55">
        <v>300</v>
      </c>
      <c r="N18" s="55">
        <v>300</v>
      </c>
      <c r="O18" s="55">
        <v>300</v>
      </c>
      <c r="P18" s="55">
        <v>300</v>
      </c>
      <c r="Q18" s="55">
        <v>300</v>
      </c>
      <c r="R18" s="55">
        <v>300</v>
      </c>
      <c r="S18" s="126">
        <f t="shared" si="0"/>
        <v>3600</v>
      </c>
      <c r="T18" s="126">
        <f t="shared" si="2"/>
        <v>0</v>
      </c>
      <c r="U18" s="127">
        <f>'Cotisation 2025'!U18</f>
        <v>0</v>
      </c>
      <c r="V18" s="127">
        <f>'Cotisation 2025'!V18</f>
        <v>0</v>
      </c>
    </row>
    <row r="19" spans="1:27" ht="24.95" customHeight="1" x14ac:dyDescent="0.25">
      <c r="B19" s="128" t="s">
        <v>1</v>
      </c>
      <c r="C19" s="129" t="s">
        <v>44</v>
      </c>
      <c r="D19" s="134">
        <v>44896</v>
      </c>
      <c r="E19" s="201"/>
      <c r="F19" s="125" t="s">
        <v>45</v>
      </c>
      <c r="G19" s="55">
        <v>300</v>
      </c>
      <c r="H19" s="55">
        <v>300</v>
      </c>
      <c r="I19" s="55">
        <v>300</v>
      </c>
      <c r="J19" s="55">
        <v>300</v>
      </c>
      <c r="K19" s="55">
        <v>300</v>
      </c>
      <c r="L19" s="55">
        <v>300</v>
      </c>
      <c r="M19" s="55">
        <v>300</v>
      </c>
      <c r="N19" s="55">
        <v>300</v>
      </c>
      <c r="O19" s="55">
        <v>300</v>
      </c>
      <c r="P19" s="55">
        <v>300</v>
      </c>
      <c r="Q19" s="55">
        <v>300</v>
      </c>
      <c r="R19" s="55">
        <v>300</v>
      </c>
      <c r="S19" s="126">
        <f t="shared" si="0"/>
        <v>3600</v>
      </c>
      <c r="T19" s="126">
        <f t="shared" si="2"/>
        <v>0</v>
      </c>
      <c r="U19" s="127">
        <f>'Cotisation 2025'!U19</f>
        <v>0</v>
      </c>
      <c r="V19" s="127">
        <f>'Cotisation 2025'!V19</f>
        <v>0</v>
      </c>
    </row>
    <row r="20" spans="1:27" ht="24.95" customHeight="1" x14ac:dyDescent="0.25">
      <c r="B20" s="137" t="s">
        <v>46</v>
      </c>
      <c r="C20" s="129" t="s">
        <v>47</v>
      </c>
      <c r="D20" s="134">
        <v>44958</v>
      </c>
      <c r="E20" s="201"/>
      <c r="F20" s="176" t="s">
        <v>48</v>
      </c>
      <c r="G20" s="55">
        <v>300</v>
      </c>
      <c r="H20" s="55">
        <v>300</v>
      </c>
      <c r="I20" s="55">
        <v>300</v>
      </c>
      <c r="J20" s="55">
        <v>300</v>
      </c>
      <c r="K20" s="55">
        <v>300</v>
      </c>
      <c r="L20" s="55">
        <v>300</v>
      </c>
      <c r="M20" s="55">
        <v>300</v>
      </c>
      <c r="N20" s="55">
        <v>300</v>
      </c>
      <c r="O20" s="55">
        <v>300</v>
      </c>
      <c r="P20" s="55">
        <v>0</v>
      </c>
      <c r="Q20" s="55">
        <v>0</v>
      </c>
      <c r="R20" s="55">
        <v>0</v>
      </c>
      <c r="S20" s="126">
        <f t="shared" si="0"/>
        <v>2700</v>
      </c>
      <c r="T20" s="126">
        <f t="shared" si="2"/>
        <v>-900</v>
      </c>
      <c r="U20" s="127">
        <f>'Cotisation 2025'!U20</f>
        <v>0</v>
      </c>
      <c r="V20" s="127">
        <f>'Cotisation 2025'!V20</f>
        <v>0</v>
      </c>
    </row>
    <row r="21" spans="1:27" ht="24.95" customHeight="1" x14ac:dyDescent="0.25">
      <c r="B21" s="135" t="s">
        <v>34</v>
      </c>
      <c r="C21" s="129" t="s">
        <v>35</v>
      </c>
      <c r="D21" s="134">
        <v>44833</v>
      </c>
      <c r="E21" s="201"/>
      <c r="F21" s="125" t="s">
        <v>49</v>
      </c>
      <c r="G21" s="55">
        <v>300</v>
      </c>
      <c r="H21" s="55">
        <v>300</v>
      </c>
      <c r="I21" s="55">
        <v>300</v>
      </c>
      <c r="J21" s="55">
        <v>300</v>
      </c>
      <c r="K21" s="55">
        <v>300</v>
      </c>
      <c r="L21" s="55">
        <v>300</v>
      </c>
      <c r="M21" s="55">
        <v>0</v>
      </c>
      <c r="N21" s="55">
        <v>0</v>
      </c>
      <c r="O21" s="55">
        <v>0</v>
      </c>
      <c r="P21" s="55">
        <v>0</v>
      </c>
      <c r="Q21" s="55">
        <v>0</v>
      </c>
      <c r="R21" s="55">
        <v>0</v>
      </c>
      <c r="S21" s="126">
        <f t="shared" si="0"/>
        <v>1800</v>
      </c>
      <c r="T21" s="126">
        <f t="shared" si="2"/>
        <v>-1800</v>
      </c>
      <c r="U21" s="127">
        <f>'Cotisation 2025'!U21</f>
        <v>0</v>
      </c>
      <c r="V21" s="127">
        <f>'Cotisation 2025'!V21</f>
        <v>0</v>
      </c>
    </row>
    <row r="22" spans="1:27" ht="24" customHeight="1" x14ac:dyDescent="0.25">
      <c r="B22" s="172" t="s">
        <v>50</v>
      </c>
      <c r="C22" s="129" t="s">
        <v>51</v>
      </c>
      <c r="D22" s="134">
        <v>45139</v>
      </c>
      <c r="E22" s="201"/>
      <c r="F22" s="125" t="s">
        <v>52</v>
      </c>
      <c r="G22" s="55">
        <v>0</v>
      </c>
      <c r="H22" s="55">
        <v>0</v>
      </c>
      <c r="I22" s="55">
        <v>0</v>
      </c>
      <c r="J22" s="55">
        <v>0</v>
      </c>
      <c r="K22" s="55">
        <v>0</v>
      </c>
      <c r="L22" s="55">
        <v>0</v>
      </c>
      <c r="M22" s="55">
        <v>0</v>
      </c>
      <c r="N22" s="55">
        <v>0</v>
      </c>
      <c r="O22" s="55">
        <v>0</v>
      </c>
      <c r="P22" s="55">
        <v>0</v>
      </c>
      <c r="Q22" s="55">
        <v>0</v>
      </c>
      <c r="R22" s="55">
        <v>0</v>
      </c>
      <c r="S22" s="126">
        <f>SUM(G22:R22)</f>
        <v>0</v>
      </c>
      <c r="T22" s="126">
        <f t="shared" si="2"/>
        <v>-3600</v>
      </c>
      <c r="U22" s="127">
        <f>'Cotisation 2025'!U22</f>
        <v>-3600</v>
      </c>
      <c r="V22" s="127">
        <f>'Cotisation 2025'!V22</f>
        <v>-1980</v>
      </c>
    </row>
    <row r="23" spans="1:27" ht="24.95" customHeight="1" x14ac:dyDescent="0.25">
      <c r="B23" s="138" t="s">
        <v>53</v>
      </c>
      <c r="C23" s="139" t="s">
        <v>54</v>
      </c>
      <c r="D23" s="134">
        <v>44881</v>
      </c>
      <c r="E23" s="201">
        <v>3</v>
      </c>
      <c r="F23" s="125" t="s">
        <v>55</v>
      </c>
      <c r="G23" s="55">
        <v>300</v>
      </c>
      <c r="H23" s="55">
        <v>300</v>
      </c>
      <c r="I23" s="55">
        <v>300</v>
      </c>
      <c r="J23" s="55">
        <v>300</v>
      </c>
      <c r="K23" s="55">
        <v>300</v>
      </c>
      <c r="L23" s="55">
        <v>300</v>
      </c>
      <c r="M23" s="55">
        <v>300</v>
      </c>
      <c r="N23" s="55">
        <v>300</v>
      </c>
      <c r="O23" s="55">
        <v>300</v>
      </c>
      <c r="P23" s="55">
        <v>300</v>
      </c>
      <c r="Q23" s="55">
        <v>300</v>
      </c>
      <c r="R23" s="55">
        <v>300</v>
      </c>
      <c r="S23" s="126">
        <f t="shared" si="0"/>
        <v>3600</v>
      </c>
      <c r="T23" s="126">
        <f t="shared" si="2"/>
        <v>0</v>
      </c>
      <c r="U23" s="127">
        <f>'Cotisation 2025'!U23</f>
        <v>0</v>
      </c>
      <c r="V23" s="127">
        <f>'Cotisation 2025'!V23</f>
        <v>0</v>
      </c>
    </row>
    <row r="24" spans="1:27" s="34" customFormat="1" ht="24.75" customHeight="1" x14ac:dyDescent="0.25">
      <c r="B24" s="140" t="s">
        <v>56</v>
      </c>
      <c r="C24" s="139" t="s">
        <v>95</v>
      </c>
      <c r="D24" s="142">
        <v>44958</v>
      </c>
      <c r="E24" s="201"/>
      <c r="F24" s="177" t="s">
        <v>58</v>
      </c>
      <c r="G24" s="55">
        <v>300</v>
      </c>
      <c r="H24" s="55">
        <v>300</v>
      </c>
      <c r="I24" s="55">
        <v>300</v>
      </c>
      <c r="J24" s="55">
        <v>300</v>
      </c>
      <c r="K24" s="55">
        <v>300</v>
      </c>
      <c r="L24" s="55">
        <v>300</v>
      </c>
      <c r="M24" s="55">
        <v>300</v>
      </c>
      <c r="N24" s="55">
        <v>300</v>
      </c>
      <c r="O24" s="55">
        <v>300</v>
      </c>
      <c r="P24" s="55">
        <v>300</v>
      </c>
      <c r="Q24" s="55">
        <v>300</v>
      </c>
      <c r="R24" s="55">
        <v>300</v>
      </c>
      <c r="S24" s="126">
        <f t="shared" si="0"/>
        <v>3600</v>
      </c>
      <c r="T24" s="126">
        <f t="shared" si="2"/>
        <v>0</v>
      </c>
      <c r="U24" s="127">
        <f>'Cotisation 2025'!U24</f>
        <v>0</v>
      </c>
      <c r="V24" s="127">
        <f>'Cotisation 2025'!V24</f>
        <v>0</v>
      </c>
    </row>
    <row r="25" spans="1:27" ht="24.95" customHeight="1" x14ac:dyDescent="0.25">
      <c r="B25" s="128" t="s">
        <v>59</v>
      </c>
      <c r="C25" s="129" t="s">
        <v>60</v>
      </c>
      <c r="D25" s="134">
        <v>44854</v>
      </c>
      <c r="E25" s="201"/>
      <c r="F25" s="176" t="s">
        <v>61</v>
      </c>
      <c r="G25" s="55">
        <v>300</v>
      </c>
      <c r="H25" s="55">
        <v>300</v>
      </c>
      <c r="I25" s="55">
        <v>300</v>
      </c>
      <c r="J25" s="55">
        <v>300</v>
      </c>
      <c r="K25" s="55">
        <v>300</v>
      </c>
      <c r="L25" s="55">
        <v>300</v>
      </c>
      <c r="M25" s="55">
        <v>300</v>
      </c>
      <c r="N25" s="55">
        <v>300</v>
      </c>
      <c r="O25" s="55">
        <v>300</v>
      </c>
      <c r="P25" s="55">
        <v>0</v>
      </c>
      <c r="Q25" s="55">
        <v>0</v>
      </c>
      <c r="R25" s="55">
        <v>0</v>
      </c>
      <c r="S25" s="126">
        <f t="shared" si="0"/>
        <v>2700</v>
      </c>
      <c r="T25" s="126">
        <f t="shared" si="2"/>
        <v>-900</v>
      </c>
      <c r="U25" s="127">
        <f>'Cotisation 2025'!U25</f>
        <v>0</v>
      </c>
      <c r="V25" s="127">
        <f>'Cotisation 2025'!V25</f>
        <v>0</v>
      </c>
    </row>
    <row r="26" spans="1:27" ht="24.95" customHeight="1" x14ac:dyDescent="0.25">
      <c r="B26" s="137" t="s">
        <v>46</v>
      </c>
      <c r="C26" s="129" t="s">
        <v>47</v>
      </c>
      <c r="D26" s="134">
        <v>44958</v>
      </c>
      <c r="E26" s="201"/>
      <c r="F26" s="125" t="s">
        <v>62</v>
      </c>
      <c r="G26" s="55">
        <v>300</v>
      </c>
      <c r="H26" s="55">
        <v>300</v>
      </c>
      <c r="I26" s="55">
        <v>300</v>
      </c>
      <c r="J26" s="55">
        <v>300</v>
      </c>
      <c r="K26" s="55">
        <v>300</v>
      </c>
      <c r="L26" s="55">
        <v>300</v>
      </c>
      <c r="M26" s="55">
        <v>300</v>
      </c>
      <c r="N26" s="55">
        <v>300</v>
      </c>
      <c r="O26" s="55">
        <v>300</v>
      </c>
      <c r="P26" s="55">
        <v>0</v>
      </c>
      <c r="Q26" s="55">
        <v>0</v>
      </c>
      <c r="R26" s="55">
        <v>0</v>
      </c>
      <c r="S26" s="126">
        <f t="shared" si="0"/>
        <v>2700</v>
      </c>
      <c r="T26" s="126">
        <f t="shared" si="2"/>
        <v>-900</v>
      </c>
      <c r="U26" s="127">
        <f>'Cotisation 2025'!U26</f>
        <v>0</v>
      </c>
      <c r="V26" s="127">
        <f>'Cotisation 2025'!V26</f>
        <v>0</v>
      </c>
      <c r="AA26" s="14">
        <f>U40+2640</f>
        <v>-6210</v>
      </c>
    </row>
    <row r="27" spans="1:27" ht="24.95" customHeight="1" x14ac:dyDescent="0.25">
      <c r="B27" s="143" t="s">
        <v>56</v>
      </c>
      <c r="C27" s="139" t="s">
        <v>95</v>
      </c>
      <c r="D27" s="134">
        <v>44958</v>
      </c>
      <c r="E27" s="201"/>
      <c r="F27" s="125" t="s">
        <v>63</v>
      </c>
      <c r="G27" s="55">
        <v>300</v>
      </c>
      <c r="H27" s="55">
        <v>300</v>
      </c>
      <c r="I27" s="55">
        <v>300</v>
      </c>
      <c r="J27" s="55">
        <v>300</v>
      </c>
      <c r="K27" s="55">
        <v>300</v>
      </c>
      <c r="L27" s="55">
        <v>300</v>
      </c>
      <c r="M27" s="55">
        <v>300</v>
      </c>
      <c r="N27" s="55">
        <v>300</v>
      </c>
      <c r="O27" s="55">
        <v>300</v>
      </c>
      <c r="P27" s="55">
        <v>300</v>
      </c>
      <c r="Q27" s="55">
        <v>300</v>
      </c>
      <c r="R27" s="55">
        <v>300</v>
      </c>
      <c r="S27" s="126">
        <f t="shared" si="0"/>
        <v>3600</v>
      </c>
      <c r="T27" s="126">
        <f t="shared" si="2"/>
        <v>0</v>
      </c>
      <c r="U27" s="127">
        <f>'Cotisation 2025'!U27</f>
        <v>0</v>
      </c>
      <c r="V27" s="127">
        <f>'Cotisation 2025'!V27</f>
        <v>0</v>
      </c>
    </row>
    <row r="28" spans="1:27" ht="24.95" customHeight="1" x14ac:dyDescent="0.25">
      <c r="B28" s="144" t="s">
        <v>64</v>
      </c>
      <c r="C28" s="129" t="s">
        <v>65</v>
      </c>
      <c r="D28" s="134">
        <v>45108</v>
      </c>
      <c r="E28" s="201"/>
      <c r="F28" s="125" t="s">
        <v>66</v>
      </c>
      <c r="G28" s="55">
        <v>300</v>
      </c>
      <c r="H28" s="55">
        <v>300</v>
      </c>
      <c r="I28" s="55">
        <v>300</v>
      </c>
      <c r="J28" s="55">
        <v>300</v>
      </c>
      <c r="K28" s="55">
        <v>300</v>
      </c>
      <c r="L28" s="55">
        <v>300</v>
      </c>
      <c r="M28" s="55">
        <v>300</v>
      </c>
      <c r="N28" s="55">
        <v>300</v>
      </c>
      <c r="O28" s="55">
        <v>300</v>
      </c>
      <c r="P28" s="55">
        <v>300</v>
      </c>
      <c r="Q28" s="55">
        <v>300</v>
      </c>
      <c r="R28" s="55">
        <v>300</v>
      </c>
      <c r="S28" s="126">
        <f t="shared" si="0"/>
        <v>3600</v>
      </c>
      <c r="T28" s="126">
        <f t="shared" si="2"/>
        <v>0</v>
      </c>
      <c r="U28" s="127">
        <f>'Cotisation 2025'!U28</f>
        <v>0</v>
      </c>
      <c r="V28" s="127">
        <f>'Cotisation 2025'!V28</f>
        <v>0</v>
      </c>
    </row>
    <row r="29" spans="1:27" ht="24.95" customHeight="1" x14ac:dyDescent="0.25">
      <c r="B29" s="137" t="s">
        <v>46</v>
      </c>
      <c r="C29" s="129" t="s">
        <v>47</v>
      </c>
      <c r="D29" s="134">
        <v>44958</v>
      </c>
      <c r="E29" s="201">
        <v>4</v>
      </c>
      <c r="F29" s="125" t="s">
        <v>67</v>
      </c>
      <c r="G29" s="55">
        <v>300</v>
      </c>
      <c r="H29" s="55">
        <v>300</v>
      </c>
      <c r="I29" s="55">
        <v>300</v>
      </c>
      <c r="J29" s="55">
        <v>300</v>
      </c>
      <c r="K29" s="55">
        <v>300</v>
      </c>
      <c r="L29" s="55">
        <v>300</v>
      </c>
      <c r="M29" s="55">
        <v>300</v>
      </c>
      <c r="N29" s="55">
        <v>300</v>
      </c>
      <c r="O29" s="55">
        <v>300</v>
      </c>
      <c r="P29" s="55">
        <v>0</v>
      </c>
      <c r="Q29" s="55">
        <v>0</v>
      </c>
      <c r="R29" s="55">
        <v>0</v>
      </c>
      <c r="S29" s="126">
        <f t="shared" si="0"/>
        <v>2700</v>
      </c>
      <c r="T29" s="126">
        <f t="shared" si="2"/>
        <v>-900</v>
      </c>
      <c r="U29" s="127">
        <f>'Cotisation 2025'!U29</f>
        <v>0</v>
      </c>
      <c r="V29" s="127">
        <f>'Cotisation 2025'!V29</f>
        <v>0</v>
      </c>
    </row>
    <row r="30" spans="1:27" ht="24.95" customHeight="1" x14ac:dyDescent="0.25">
      <c r="B30" s="137" t="s">
        <v>46</v>
      </c>
      <c r="C30" s="129" t="s">
        <v>47</v>
      </c>
      <c r="D30" s="134">
        <v>44886</v>
      </c>
      <c r="E30" s="201"/>
      <c r="F30" s="125" t="s">
        <v>68</v>
      </c>
      <c r="G30" s="55">
        <v>300</v>
      </c>
      <c r="H30" s="55">
        <v>300</v>
      </c>
      <c r="I30" s="55">
        <v>300</v>
      </c>
      <c r="J30" s="55">
        <v>300</v>
      </c>
      <c r="K30" s="55">
        <v>300</v>
      </c>
      <c r="L30" s="55">
        <v>300</v>
      </c>
      <c r="M30" s="55">
        <v>300</v>
      </c>
      <c r="N30" s="55">
        <v>300</v>
      </c>
      <c r="O30" s="55">
        <v>300</v>
      </c>
      <c r="P30" s="55">
        <v>0</v>
      </c>
      <c r="Q30" s="55">
        <v>0</v>
      </c>
      <c r="R30" s="55">
        <v>0</v>
      </c>
      <c r="S30" s="126">
        <f t="shared" si="0"/>
        <v>2700</v>
      </c>
      <c r="T30" s="126">
        <f t="shared" si="2"/>
        <v>-900</v>
      </c>
      <c r="U30" s="127">
        <f>'Cotisation 2025'!U30</f>
        <v>0</v>
      </c>
      <c r="V30" s="127">
        <f>'Cotisation 2025'!V30</f>
        <v>0</v>
      </c>
    </row>
    <row r="31" spans="1:27" ht="24.95" customHeight="1" x14ac:dyDescent="0.25">
      <c r="B31" s="145" t="s">
        <v>64</v>
      </c>
      <c r="C31" s="129" t="s">
        <v>65</v>
      </c>
      <c r="D31" s="134">
        <v>44851</v>
      </c>
      <c r="E31" s="201"/>
      <c r="F31" s="125" t="s">
        <v>69</v>
      </c>
      <c r="G31" s="55">
        <v>300</v>
      </c>
      <c r="H31" s="55">
        <v>300</v>
      </c>
      <c r="I31" s="55">
        <v>300</v>
      </c>
      <c r="J31" s="55">
        <v>300</v>
      </c>
      <c r="K31" s="55">
        <v>300</v>
      </c>
      <c r="L31" s="55">
        <v>300</v>
      </c>
      <c r="M31" s="55">
        <v>300</v>
      </c>
      <c r="N31" s="55">
        <v>300</v>
      </c>
      <c r="O31" s="55">
        <v>300</v>
      </c>
      <c r="P31" s="55">
        <v>300</v>
      </c>
      <c r="Q31" s="55">
        <v>300</v>
      </c>
      <c r="R31" s="55">
        <v>300</v>
      </c>
      <c r="S31" s="126">
        <f t="shared" si="0"/>
        <v>3600</v>
      </c>
      <c r="T31" s="126">
        <f t="shared" si="2"/>
        <v>0</v>
      </c>
      <c r="U31" s="127">
        <f>'Cotisation 2025'!U31</f>
        <v>0</v>
      </c>
      <c r="V31" s="127">
        <f>'Cotisation 2025'!V31</f>
        <v>0</v>
      </c>
    </row>
    <row r="32" spans="1:27" ht="24.95" customHeight="1" x14ac:dyDescent="0.25">
      <c r="B32" s="133" t="s">
        <v>25</v>
      </c>
      <c r="C32" s="129" t="s">
        <v>26</v>
      </c>
      <c r="D32" s="134">
        <v>44853</v>
      </c>
      <c r="E32" s="201"/>
      <c r="F32" s="125" t="s">
        <v>70</v>
      </c>
      <c r="G32" s="55">
        <v>300</v>
      </c>
      <c r="H32" s="55">
        <v>300</v>
      </c>
      <c r="I32" s="55">
        <v>300</v>
      </c>
      <c r="J32" s="55">
        <v>300</v>
      </c>
      <c r="K32" s="55">
        <v>300</v>
      </c>
      <c r="L32" s="55">
        <v>300</v>
      </c>
      <c r="M32" s="55">
        <v>300</v>
      </c>
      <c r="N32" s="55">
        <v>300</v>
      </c>
      <c r="O32" s="55">
        <v>300</v>
      </c>
      <c r="P32" s="55">
        <v>300</v>
      </c>
      <c r="Q32" s="55">
        <v>300</v>
      </c>
      <c r="R32" s="55">
        <v>300</v>
      </c>
      <c r="S32" s="126">
        <f t="shared" si="0"/>
        <v>3600</v>
      </c>
      <c r="T32" s="126">
        <f t="shared" si="2"/>
        <v>0</v>
      </c>
      <c r="U32" s="127">
        <f>'Cotisation 2025'!U32</f>
        <v>0</v>
      </c>
      <c r="V32" s="127">
        <f>'Cotisation 2025'!V32</f>
        <v>0</v>
      </c>
    </row>
    <row r="33" spans="2:22" ht="24.95" customHeight="1" x14ac:dyDescent="0.25">
      <c r="B33" s="128" t="s">
        <v>71</v>
      </c>
      <c r="C33" s="129" t="s">
        <v>72</v>
      </c>
      <c r="D33" s="134">
        <v>44881</v>
      </c>
      <c r="E33" s="201"/>
      <c r="F33" s="177" t="s">
        <v>73</v>
      </c>
      <c r="G33" s="55">
        <v>300</v>
      </c>
      <c r="H33" s="55">
        <v>300</v>
      </c>
      <c r="I33" s="55">
        <v>300</v>
      </c>
      <c r="J33" s="55">
        <v>0</v>
      </c>
      <c r="K33" s="55">
        <v>0</v>
      </c>
      <c r="L33" s="55">
        <v>0</v>
      </c>
      <c r="M33" s="55">
        <v>0</v>
      </c>
      <c r="N33" s="55">
        <v>0</v>
      </c>
      <c r="O33" s="55">
        <v>0</v>
      </c>
      <c r="P33" s="55">
        <v>0</v>
      </c>
      <c r="Q33" s="55">
        <v>0</v>
      </c>
      <c r="R33" s="55">
        <v>0</v>
      </c>
      <c r="S33" s="126">
        <f t="shared" si="0"/>
        <v>900</v>
      </c>
      <c r="T33" s="126">
        <f t="shared" si="2"/>
        <v>-2700</v>
      </c>
      <c r="U33" s="127">
        <f>'Cotisation 2025'!U33</f>
        <v>0</v>
      </c>
      <c r="V33" s="127">
        <f>'Cotisation 2025'!V33</f>
        <v>0</v>
      </c>
    </row>
    <row r="34" spans="2:22" ht="24.95" customHeight="1" x14ac:dyDescent="0.25">
      <c r="B34" s="136" t="s">
        <v>37</v>
      </c>
      <c r="C34" s="129" t="s">
        <v>38</v>
      </c>
      <c r="D34" s="134">
        <v>45474</v>
      </c>
      <c r="E34" s="201"/>
      <c r="F34" s="125" t="s">
        <v>74</v>
      </c>
      <c r="G34" s="55">
        <v>300</v>
      </c>
      <c r="H34" s="55">
        <v>300</v>
      </c>
      <c r="I34" s="55">
        <v>300</v>
      </c>
      <c r="J34" s="55">
        <v>300</v>
      </c>
      <c r="K34" s="55">
        <v>300</v>
      </c>
      <c r="L34" s="55">
        <v>300</v>
      </c>
      <c r="M34" s="55">
        <v>300</v>
      </c>
      <c r="N34" s="55">
        <v>300</v>
      </c>
      <c r="O34" s="55">
        <v>300</v>
      </c>
      <c r="P34" s="55">
        <v>300</v>
      </c>
      <c r="Q34" s="55">
        <v>300</v>
      </c>
      <c r="R34" s="55">
        <v>300</v>
      </c>
      <c r="S34" s="126">
        <f t="shared" si="0"/>
        <v>3600</v>
      </c>
      <c r="T34" s="126">
        <f t="shared" si="2"/>
        <v>0</v>
      </c>
      <c r="U34" s="127">
        <f>'Cotisation 2025'!U34</f>
        <v>0</v>
      </c>
      <c r="V34" s="127">
        <f>'Cotisation 2025'!V34</f>
        <v>0</v>
      </c>
    </row>
    <row r="35" spans="2:22" ht="24.95" customHeight="1" x14ac:dyDescent="0.25">
      <c r="B35" s="128" t="s">
        <v>75</v>
      </c>
      <c r="C35" s="129" t="s">
        <v>76</v>
      </c>
      <c r="D35" s="134">
        <v>44816</v>
      </c>
      <c r="E35" s="201">
        <v>5</v>
      </c>
      <c r="F35" s="176" t="s">
        <v>77</v>
      </c>
      <c r="G35" s="55">
        <v>300</v>
      </c>
      <c r="H35" s="55">
        <v>300</v>
      </c>
      <c r="I35" s="55">
        <v>300</v>
      </c>
      <c r="J35" s="55">
        <v>300</v>
      </c>
      <c r="K35" s="55">
        <v>300</v>
      </c>
      <c r="L35" s="55">
        <v>300</v>
      </c>
      <c r="M35" s="55">
        <v>300</v>
      </c>
      <c r="N35" s="55">
        <v>300</v>
      </c>
      <c r="O35" s="55">
        <v>300</v>
      </c>
      <c r="P35" s="55">
        <v>300</v>
      </c>
      <c r="Q35" s="55">
        <v>300</v>
      </c>
      <c r="R35" s="55">
        <v>300</v>
      </c>
      <c r="S35" s="126">
        <f t="shared" si="0"/>
        <v>3600</v>
      </c>
      <c r="T35" s="126">
        <f t="shared" si="2"/>
        <v>0</v>
      </c>
      <c r="U35" s="127">
        <f>'Cotisation 2025'!U35</f>
        <v>0</v>
      </c>
      <c r="V35" s="127">
        <f>'Cotisation 2025'!V35</f>
        <v>0</v>
      </c>
    </row>
    <row r="36" spans="2:22" ht="24.75" customHeight="1" x14ac:dyDescent="0.25">
      <c r="B36" s="128" t="s">
        <v>78</v>
      </c>
      <c r="C36" s="129" t="s">
        <v>79</v>
      </c>
      <c r="D36" s="134">
        <v>44832</v>
      </c>
      <c r="E36" s="201"/>
      <c r="F36" s="125" t="s">
        <v>80</v>
      </c>
      <c r="G36" s="55">
        <v>300</v>
      </c>
      <c r="H36" s="55">
        <v>300</v>
      </c>
      <c r="I36" s="55">
        <v>300</v>
      </c>
      <c r="J36" s="55">
        <v>300</v>
      </c>
      <c r="K36" s="55">
        <v>300</v>
      </c>
      <c r="L36" s="55">
        <v>300</v>
      </c>
      <c r="M36" s="55">
        <v>300</v>
      </c>
      <c r="N36" s="55">
        <v>300</v>
      </c>
      <c r="O36" s="55">
        <v>300</v>
      </c>
      <c r="P36" s="55">
        <v>300</v>
      </c>
      <c r="Q36" s="55">
        <v>300</v>
      </c>
      <c r="R36" s="55">
        <v>300</v>
      </c>
      <c r="S36" s="126">
        <f t="shared" si="0"/>
        <v>3600</v>
      </c>
      <c r="T36" s="126">
        <f t="shared" si="2"/>
        <v>0</v>
      </c>
      <c r="U36" s="127">
        <f>'Cotisation 2025'!U36</f>
        <v>0</v>
      </c>
      <c r="V36" s="127">
        <f>'Cotisation 2025'!V36</f>
        <v>0</v>
      </c>
    </row>
    <row r="37" spans="2:22" ht="24.95" customHeight="1" x14ac:dyDescent="0.25">
      <c r="B37" s="128" t="s">
        <v>81</v>
      </c>
      <c r="C37" s="129" t="s">
        <v>82</v>
      </c>
      <c r="D37" s="134">
        <v>44846</v>
      </c>
      <c r="E37" s="201"/>
      <c r="F37" s="125" t="s">
        <v>83</v>
      </c>
      <c r="G37" s="55">
        <v>0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5">
        <v>0</v>
      </c>
      <c r="N37" s="55">
        <v>0</v>
      </c>
      <c r="O37" s="55">
        <v>0</v>
      </c>
      <c r="P37" s="55">
        <v>0</v>
      </c>
      <c r="Q37" s="55">
        <v>0</v>
      </c>
      <c r="R37" s="55">
        <v>0</v>
      </c>
      <c r="S37" s="126">
        <f t="shared" si="0"/>
        <v>0</v>
      </c>
      <c r="T37" s="126">
        <f t="shared" si="2"/>
        <v>-3600</v>
      </c>
      <c r="U37" s="127">
        <f>'Cotisation 2025'!U37</f>
        <v>-3600</v>
      </c>
      <c r="V37" s="127">
        <f>'Cotisation 2025'!V37</f>
        <v>0</v>
      </c>
    </row>
    <row r="38" spans="2:22" ht="24.75" customHeight="1" x14ac:dyDescent="0.25">
      <c r="B38" s="128" t="s">
        <v>104</v>
      </c>
      <c r="C38" s="129" t="s">
        <v>105</v>
      </c>
      <c r="D38" s="134">
        <v>46143</v>
      </c>
      <c r="E38" s="201"/>
      <c r="F38" s="176" t="s">
        <v>85</v>
      </c>
      <c r="G38" s="55">
        <v>300</v>
      </c>
      <c r="H38" s="55">
        <v>300</v>
      </c>
      <c r="I38" s="55">
        <v>300</v>
      </c>
      <c r="J38" s="55">
        <v>300</v>
      </c>
      <c r="K38" s="55">
        <v>300</v>
      </c>
      <c r="L38" s="55">
        <v>300</v>
      </c>
      <c r="M38" s="55">
        <v>300</v>
      </c>
      <c r="N38" s="55">
        <v>300</v>
      </c>
      <c r="O38" s="55">
        <v>300</v>
      </c>
      <c r="P38" s="55">
        <v>0</v>
      </c>
      <c r="Q38" s="55">
        <v>0</v>
      </c>
      <c r="R38" s="55">
        <v>0</v>
      </c>
      <c r="S38" s="126">
        <f t="shared" si="0"/>
        <v>2700</v>
      </c>
      <c r="T38" s="126">
        <f t="shared" si="2"/>
        <v>-900</v>
      </c>
      <c r="U38" s="127">
        <f>'Cotisation 2025'!U38</f>
        <v>0</v>
      </c>
      <c r="V38" s="127">
        <f>'Cotisation 2025'!V38</f>
        <v>0</v>
      </c>
    </row>
    <row r="39" spans="2:22" ht="24.95" customHeight="1" x14ac:dyDescent="0.25">
      <c r="B39" s="128" t="s">
        <v>86</v>
      </c>
      <c r="C39" s="129" t="s">
        <v>87</v>
      </c>
      <c r="D39" s="134">
        <v>45139</v>
      </c>
      <c r="E39" s="201"/>
      <c r="F39" s="125" t="s">
        <v>88</v>
      </c>
      <c r="G39" s="55">
        <v>300</v>
      </c>
      <c r="H39" s="55">
        <v>300</v>
      </c>
      <c r="I39" s="55">
        <v>300</v>
      </c>
      <c r="J39" s="55">
        <v>300</v>
      </c>
      <c r="K39" s="55">
        <v>300</v>
      </c>
      <c r="L39" s="55">
        <v>300</v>
      </c>
      <c r="M39" s="55">
        <v>300</v>
      </c>
      <c r="N39" s="55">
        <v>300</v>
      </c>
      <c r="O39" s="55">
        <v>300</v>
      </c>
      <c r="P39" s="55">
        <v>300</v>
      </c>
      <c r="Q39" s="55">
        <v>300</v>
      </c>
      <c r="R39" s="55">
        <v>300</v>
      </c>
      <c r="S39" s="126">
        <f t="shared" si="0"/>
        <v>3600</v>
      </c>
      <c r="T39" s="126">
        <f t="shared" si="2"/>
        <v>0</v>
      </c>
      <c r="U39" s="127">
        <f>'Cotisation 2025'!U39</f>
        <v>0</v>
      </c>
      <c r="V39" s="127">
        <f>'Cotisation 2025'!V39</f>
        <v>0</v>
      </c>
    </row>
    <row r="40" spans="2:22" ht="42" customHeight="1" x14ac:dyDescent="0.25">
      <c r="B40" s="146"/>
      <c r="C40" s="146"/>
      <c r="D40" s="147"/>
      <c r="E40" s="203" t="s">
        <v>89</v>
      </c>
      <c r="F40" s="203"/>
      <c r="G40" s="148">
        <f t="shared" ref="G40:V40" si="3">SUM(G7:G39)</f>
        <v>8100</v>
      </c>
      <c r="H40" s="148">
        <f t="shared" si="3"/>
        <v>8100</v>
      </c>
      <c r="I40" s="148">
        <f t="shared" si="3"/>
        <v>8100</v>
      </c>
      <c r="J40" s="148">
        <f t="shared" si="3"/>
        <v>7800</v>
      </c>
      <c r="K40" s="148">
        <f t="shared" si="3"/>
        <v>7800</v>
      </c>
      <c r="L40" s="148">
        <f t="shared" si="3"/>
        <v>7800</v>
      </c>
      <c r="M40" s="148">
        <f t="shared" si="3"/>
        <v>7200</v>
      </c>
      <c r="N40" s="148">
        <f t="shared" si="3"/>
        <v>7200</v>
      </c>
      <c r="O40" s="148">
        <f t="shared" si="3"/>
        <v>7200</v>
      </c>
      <c r="P40" s="148">
        <f t="shared" si="3"/>
        <v>5400</v>
      </c>
      <c r="Q40" s="148">
        <f t="shared" si="3"/>
        <v>5400</v>
      </c>
      <c r="R40" s="148">
        <f t="shared" si="3"/>
        <v>6100</v>
      </c>
      <c r="S40" s="149">
        <f t="shared" si="3"/>
        <v>86200</v>
      </c>
      <c r="T40" s="149">
        <f t="shared" si="3"/>
        <v>-25400</v>
      </c>
      <c r="U40" s="149">
        <f t="shared" si="3"/>
        <v>-8850</v>
      </c>
      <c r="V40" s="149">
        <f t="shared" si="3"/>
        <v>-4530</v>
      </c>
    </row>
    <row r="41" spans="2:22" x14ac:dyDescent="0.25">
      <c r="B41" s="1"/>
      <c r="C41" s="1"/>
      <c r="D41" s="1"/>
      <c r="E41" s="1"/>
      <c r="F41" s="1"/>
      <c r="G41" s="7"/>
      <c r="H41" s="7"/>
      <c r="I41" s="7"/>
      <c r="J41" s="204"/>
      <c r="K41" s="204"/>
      <c r="L41" s="1"/>
      <c r="M41" s="1"/>
      <c r="N41" s="1"/>
      <c r="O41" s="1"/>
      <c r="P41" s="1"/>
      <c r="Q41" s="1"/>
      <c r="R41" s="1"/>
      <c r="S41" s="1"/>
      <c r="T41" s="1"/>
      <c r="U41" s="1"/>
    </row>
    <row r="42" spans="2:22" ht="15" customHeight="1" x14ac:dyDescent="0.25">
      <c r="B42" s="2"/>
      <c r="C42" s="2"/>
      <c r="D42" s="2"/>
      <c r="E42" s="8" t="s">
        <v>90</v>
      </c>
      <c r="F42" s="205"/>
      <c r="G42" s="205"/>
      <c r="H42" s="205"/>
      <c r="I42" s="205"/>
      <c r="J42" s="205"/>
      <c r="K42" s="205"/>
      <c r="L42" s="205"/>
      <c r="M42" s="205"/>
      <c r="N42" s="205"/>
      <c r="O42" s="205"/>
      <c r="P42" s="205"/>
      <c r="Q42" s="205"/>
      <c r="R42" s="205"/>
      <c r="S42" s="205"/>
      <c r="T42" s="205"/>
      <c r="U42" s="205"/>
    </row>
    <row r="43" spans="2:22" x14ac:dyDescent="0.25">
      <c r="B43" s="1"/>
      <c r="C43" s="1"/>
      <c r="D43" s="1"/>
      <c r="E43" s="2"/>
      <c r="F43" s="2"/>
      <c r="G43" s="2"/>
      <c r="H43" s="2"/>
      <c r="I43" s="2"/>
      <c r="J43" s="206"/>
      <c r="K43" s="206"/>
      <c r="L43" s="206"/>
      <c r="M43" s="206"/>
      <c r="N43" s="206"/>
      <c r="O43" s="206"/>
      <c r="P43" s="206"/>
      <c r="Q43" s="206"/>
      <c r="R43" s="1"/>
      <c r="U43" s="1"/>
    </row>
    <row r="45" spans="2:22" x14ac:dyDescent="0.25">
      <c r="S45" s="1"/>
      <c r="T45" s="1"/>
    </row>
  </sheetData>
  <autoFilter ref="B6:U40" xr:uid="{239BF5FA-E377-4D74-AEE2-1C2DBB461857}"/>
  <mergeCells count="11">
    <mergeCell ref="E35:E39"/>
    <mergeCell ref="E40:F40"/>
    <mergeCell ref="J41:K41"/>
    <mergeCell ref="F42:U42"/>
    <mergeCell ref="J43:Q43"/>
    <mergeCell ref="E29:E34"/>
    <mergeCell ref="E5:R5"/>
    <mergeCell ref="E7:E10"/>
    <mergeCell ref="E11:E16"/>
    <mergeCell ref="E17:E22"/>
    <mergeCell ref="E23:E28"/>
  </mergeCells>
  <conditionalFormatting sqref="G11:R39">
    <cfRule type="cellIs" dxfId="20" priority="2" operator="greaterThan">
      <formula>0</formula>
    </cfRule>
  </conditionalFormatting>
  <conditionalFormatting sqref="U7:V39">
    <cfRule type="cellIs" dxfId="19" priority="4" operator="greaterThan">
      <formula>0</formula>
    </cfRule>
  </conditionalFormatting>
  <conditionalFormatting sqref="U7:V40">
    <cfRule type="cellIs" dxfId="18" priority="1" operator="lessThan">
      <formula>0</formula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BF5FA-E377-4D74-AEE2-1C2DBB461857}">
  <dimension ref="B1:AA43"/>
  <sheetViews>
    <sheetView zoomScale="40" zoomScaleNormal="40" workbookViewId="0">
      <selection activeCell="A42" sqref="A42:XFD43"/>
    </sheetView>
  </sheetViews>
  <sheetFormatPr baseColWidth="10" defaultColWidth="9.140625" defaultRowHeight="15" x14ac:dyDescent="0.25"/>
  <cols>
    <col min="1" max="1" width="3.5703125" customWidth="1"/>
    <col min="2" max="2" width="50.7109375" bestFit="1" customWidth="1"/>
    <col min="3" max="3" width="28.7109375" bestFit="1" customWidth="1"/>
    <col min="4" max="4" width="8.7109375" customWidth="1"/>
    <col min="5" max="5" width="15.85546875" customWidth="1"/>
    <col min="6" max="6" width="9.28515625" customWidth="1"/>
    <col min="7" max="7" width="28" customWidth="1"/>
    <col min="8" max="10" width="17.28515625" bestFit="1" customWidth="1"/>
    <col min="11" max="11" width="16.42578125" bestFit="1" customWidth="1"/>
    <col min="12" max="12" width="16.140625" bestFit="1" customWidth="1"/>
    <col min="13" max="13" width="16.28515625" bestFit="1" customWidth="1"/>
    <col min="14" max="14" width="16.42578125" bestFit="1" customWidth="1"/>
    <col min="15" max="15" width="14.28515625" customWidth="1"/>
    <col min="16" max="16" width="15.140625" customWidth="1"/>
    <col min="17" max="17" width="16.85546875" customWidth="1"/>
    <col min="18" max="18" width="12.85546875" customWidth="1"/>
    <col min="19" max="19" width="13.140625" customWidth="1"/>
    <col min="20" max="20" width="21.5703125" bestFit="1" customWidth="1"/>
    <col min="21" max="21" width="21.42578125" customWidth="1"/>
    <col min="22" max="22" width="32.140625" bestFit="1" customWidth="1"/>
    <col min="27" max="27" width="9.5703125" bestFit="1" customWidth="1"/>
  </cols>
  <sheetData>
    <row r="1" spans="2:22" ht="28.5" customHeight="1" x14ac:dyDescent="0.25"/>
    <row r="3" spans="2:22" ht="84.75" customHeight="1" x14ac:dyDescent="0.25"/>
    <row r="4" spans="2:22" ht="48.75" customHeight="1" x14ac:dyDescent="0.25"/>
    <row r="5" spans="2:22" ht="42.75" customHeight="1" x14ac:dyDescent="0.25">
      <c r="B5" s="157"/>
      <c r="C5" s="157"/>
      <c r="D5" s="157"/>
      <c r="E5" s="157"/>
      <c r="F5" s="207" t="s">
        <v>96</v>
      </c>
      <c r="G5" s="207"/>
      <c r="H5" s="207"/>
      <c r="I5" s="207"/>
      <c r="J5" s="207"/>
      <c r="K5" s="207"/>
      <c r="L5" s="207"/>
      <c r="M5" s="207"/>
      <c r="N5" s="207"/>
      <c r="O5" s="207"/>
      <c r="P5" s="207"/>
      <c r="Q5" s="207"/>
      <c r="R5" s="207"/>
      <c r="S5" s="207"/>
      <c r="T5" s="158" t="s">
        <v>4</v>
      </c>
      <c r="U5" s="158"/>
      <c r="V5" s="159">
        <f ca="1">TODAY()</f>
        <v>46314</v>
      </c>
    </row>
    <row r="6" spans="2:22" ht="44.25" customHeight="1" x14ac:dyDescent="0.25">
      <c r="B6" s="160" t="s">
        <v>5</v>
      </c>
      <c r="C6" s="160" t="s">
        <v>6</v>
      </c>
      <c r="D6" s="160" t="s">
        <v>7</v>
      </c>
      <c r="E6" s="160" t="s">
        <v>8</v>
      </c>
      <c r="F6" s="160" t="s">
        <v>9</v>
      </c>
      <c r="G6" s="161" t="s">
        <v>10</v>
      </c>
      <c r="H6" s="162">
        <v>45658</v>
      </c>
      <c r="I6" s="162">
        <v>45689</v>
      </c>
      <c r="J6" s="162">
        <v>45717</v>
      </c>
      <c r="K6" s="162">
        <v>45748</v>
      </c>
      <c r="L6" s="162">
        <v>45778</v>
      </c>
      <c r="M6" s="162">
        <v>45809</v>
      </c>
      <c r="N6" s="162">
        <v>45839</v>
      </c>
      <c r="O6" s="162">
        <v>45870</v>
      </c>
      <c r="P6" s="162">
        <v>45901</v>
      </c>
      <c r="Q6" s="162">
        <v>45931</v>
      </c>
      <c r="R6" s="162">
        <v>45962</v>
      </c>
      <c r="S6" s="162">
        <v>45992</v>
      </c>
      <c r="T6" s="163" t="s">
        <v>91</v>
      </c>
      <c r="U6" s="163" t="s">
        <v>92</v>
      </c>
      <c r="V6" s="163" t="s">
        <v>93</v>
      </c>
    </row>
    <row r="7" spans="2:22" ht="24.95" customHeight="1" x14ac:dyDescent="0.25">
      <c r="B7" s="150" t="s">
        <v>12</v>
      </c>
      <c r="C7" s="151"/>
      <c r="D7" s="152" t="s">
        <v>13</v>
      </c>
      <c r="E7" s="153"/>
      <c r="F7" s="208" t="s">
        <v>14</v>
      </c>
      <c r="G7" s="154" t="s">
        <v>15</v>
      </c>
      <c r="H7" s="121">
        <v>150</v>
      </c>
      <c r="I7" s="121">
        <v>150</v>
      </c>
      <c r="J7" s="121">
        <v>150</v>
      </c>
      <c r="K7" s="121">
        <v>150</v>
      </c>
      <c r="L7" s="121">
        <v>150</v>
      </c>
      <c r="M7" s="121">
        <v>150</v>
      </c>
      <c r="N7" s="121">
        <v>150</v>
      </c>
      <c r="O7" s="121">
        <v>150</v>
      </c>
      <c r="P7" s="121">
        <v>150</v>
      </c>
      <c r="Q7" s="121">
        <v>150</v>
      </c>
      <c r="R7" s="121">
        <v>150</v>
      </c>
      <c r="S7" s="121">
        <v>150</v>
      </c>
      <c r="T7" s="126">
        <f t="shared" ref="T7:T8" si="0">SUM(H7:S7)</f>
        <v>1800</v>
      </c>
      <c r="U7" s="155">
        <f>-(1800-T7)</f>
        <v>0</v>
      </c>
      <c r="V7" s="156">
        <f>'Cotisation 2024'!U7</f>
        <v>0</v>
      </c>
    </row>
    <row r="8" spans="2:22" ht="24.95" customHeight="1" x14ac:dyDescent="0.25">
      <c r="B8" s="128" t="s">
        <v>16</v>
      </c>
      <c r="C8" s="129" t="s">
        <v>17</v>
      </c>
      <c r="D8" s="129" t="s">
        <v>13</v>
      </c>
      <c r="E8" s="130">
        <v>45313</v>
      </c>
      <c r="F8" s="201"/>
      <c r="G8" s="125" t="s">
        <v>18</v>
      </c>
      <c r="H8" s="120">
        <v>150</v>
      </c>
      <c r="I8" s="120">
        <v>150</v>
      </c>
      <c r="J8" s="120">
        <v>150</v>
      </c>
      <c r="K8" s="120">
        <v>150</v>
      </c>
      <c r="L8" s="120">
        <v>150</v>
      </c>
      <c r="M8" s="120">
        <v>150</v>
      </c>
      <c r="N8" s="120">
        <v>150</v>
      </c>
      <c r="O8" s="120">
        <v>150</v>
      </c>
      <c r="P8" s="120">
        <v>150</v>
      </c>
      <c r="Q8" s="120">
        <v>150</v>
      </c>
      <c r="R8" s="120">
        <v>150</v>
      </c>
      <c r="S8" s="120">
        <v>150</v>
      </c>
      <c r="T8" s="126">
        <f t="shared" si="0"/>
        <v>1800</v>
      </c>
      <c r="U8" s="126">
        <f t="shared" ref="U8:U10" si="1">-(1800-T8)</f>
        <v>0</v>
      </c>
      <c r="V8" s="127">
        <f>'Cotisation 2024'!U8</f>
        <v>-1350</v>
      </c>
    </row>
    <row r="9" spans="2:22" ht="24.75" customHeight="1" x14ac:dyDescent="0.25">
      <c r="B9" s="122" t="s">
        <v>12</v>
      </c>
      <c r="C9" s="129"/>
      <c r="D9" s="129"/>
      <c r="E9" s="130"/>
      <c r="F9" s="201"/>
      <c r="G9" s="125" t="s">
        <v>20</v>
      </c>
      <c r="H9" s="120">
        <v>150</v>
      </c>
      <c r="I9" s="120">
        <v>150</v>
      </c>
      <c r="J9" s="120">
        <v>150</v>
      </c>
      <c r="K9" s="120">
        <v>150</v>
      </c>
      <c r="L9" s="120">
        <v>150</v>
      </c>
      <c r="M9" s="120">
        <v>150</v>
      </c>
      <c r="N9" s="120">
        <v>150</v>
      </c>
      <c r="O9" s="120">
        <v>150</v>
      </c>
      <c r="P9" s="120">
        <v>150</v>
      </c>
      <c r="Q9" s="120">
        <v>150</v>
      </c>
      <c r="R9" s="120">
        <v>150</v>
      </c>
      <c r="S9" s="120">
        <v>150</v>
      </c>
      <c r="T9" s="126">
        <f t="shared" ref="T9:T39" si="2">SUM(H9:S9)</f>
        <v>1800</v>
      </c>
      <c r="U9" s="126">
        <f t="shared" si="1"/>
        <v>0</v>
      </c>
      <c r="V9" s="127">
        <f>'Cotisation 2024'!U9</f>
        <v>0</v>
      </c>
    </row>
    <row r="10" spans="2:22" ht="24.95" customHeight="1" x14ac:dyDescent="0.25">
      <c r="B10" s="122" t="s">
        <v>12</v>
      </c>
      <c r="C10" s="123"/>
      <c r="D10" s="124" t="s">
        <v>13</v>
      </c>
      <c r="E10" s="130"/>
      <c r="F10" s="201"/>
      <c r="G10" s="125" t="s">
        <v>21</v>
      </c>
      <c r="H10" s="120">
        <v>150</v>
      </c>
      <c r="I10" s="120">
        <v>150</v>
      </c>
      <c r="J10" s="120">
        <v>150</v>
      </c>
      <c r="K10" s="120">
        <v>150</v>
      </c>
      <c r="L10" s="120">
        <v>150</v>
      </c>
      <c r="M10" s="120">
        <v>150</v>
      </c>
      <c r="N10" s="120">
        <v>150</v>
      </c>
      <c r="O10" s="120">
        <v>150</v>
      </c>
      <c r="P10" s="120">
        <v>150</v>
      </c>
      <c r="Q10" s="120">
        <v>150</v>
      </c>
      <c r="R10" s="120">
        <v>150</v>
      </c>
      <c r="S10" s="120">
        <v>150</v>
      </c>
      <c r="T10" s="126">
        <f t="shared" si="2"/>
        <v>1800</v>
      </c>
      <c r="U10" s="126">
        <f t="shared" si="1"/>
        <v>0</v>
      </c>
      <c r="V10" s="127">
        <f>'Cotisation 2024'!U10</f>
        <v>0</v>
      </c>
    </row>
    <row r="11" spans="2:22" ht="24.95" customHeight="1" x14ac:dyDescent="0.25">
      <c r="B11" s="131" t="s">
        <v>22</v>
      </c>
      <c r="C11" s="129" t="s">
        <v>23</v>
      </c>
      <c r="D11" s="124" t="s">
        <v>13</v>
      </c>
      <c r="E11" s="130">
        <v>44958</v>
      </c>
      <c r="F11" s="201">
        <v>1</v>
      </c>
      <c r="G11" s="125" t="s">
        <v>24</v>
      </c>
      <c r="H11" s="120">
        <v>300</v>
      </c>
      <c r="I11" s="120">
        <v>300</v>
      </c>
      <c r="J11" s="120">
        <v>300</v>
      </c>
      <c r="K11" s="132">
        <v>300</v>
      </c>
      <c r="L11" s="120">
        <v>300</v>
      </c>
      <c r="M11" s="120">
        <v>300</v>
      </c>
      <c r="N11" s="120">
        <v>300</v>
      </c>
      <c r="O11" s="120">
        <v>300</v>
      </c>
      <c r="P11" s="120">
        <v>300</v>
      </c>
      <c r="Q11" s="120">
        <v>300</v>
      </c>
      <c r="R11" s="120">
        <v>300</v>
      </c>
      <c r="S11" s="120">
        <v>300</v>
      </c>
      <c r="T11" s="126">
        <f>SUM(H11:S11)</f>
        <v>3600</v>
      </c>
      <c r="U11" s="126">
        <f>-(3600-T11)</f>
        <v>0</v>
      </c>
      <c r="V11" s="127">
        <f>'Cotisation 2024'!U11</f>
        <v>0</v>
      </c>
    </row>
    <row r="12" spans="2:22" ht="24.95" customHeight="1" x14ac:dyDescent="0.25">
      <c r="B12" s="133" t="s">
        <v>25</v>
      </c>
      <c r="C12" s="129" t="s">
        <v>26</v>
      </c>
      <c r="D12" s="124" t="s">
        <v>13</v>
      </c>
      <c r="E12" s="130">
        <v>44813</v>
      </c>
      <c r="F12" s="201"/>
      <c r="G12" s="125" t="s">
        <v>27</v>
      </c>
      <c r="H12" s="120">
        <v>300</v>
      </c>
      <c r="I12" s="120">
        <v>300</v>
      </c>
      <c r="J12" s="120">
        <v>300</v>
      </c>
      <c r="K12" s="120">
        <v>300</v>
      </c>
      <c r="L12" s="120">
        <v>300</v>
      </c>
      <c r="M12" s="120">
        <v>300</v>
      </c>
      <c r="N12" s="120">
        <v>300</v>
      </c>
      <c r="O12" s="120">
        <v>300</v>
      </c>
      <c r="P12" s="120">
        <v>300</v>
      </c>
      <c r="Q12" s="120">
        <v>300</v>
      </c>
      <c r="R12" s="120">
        <v>300</v>
      </c>
      <c r="S12" s="120">
        <v>300</v>
      </c>
      <c r="T12" s="126">
        <f t="shared" si="2"/>
        <v>3600</v>
      </c>
      <c r="U12" s="126">
        <f t="shared" ref="U12:U39" si="3">-(3600-T12)</f>
        <v>0</v>
      </c>
      <c r="V12" s="127">
        <f>'Cotisation 2024'!U12</f>
        <v>0</v>
      </c>
    </row>
    <row r="13" spans="2:22" ht="28.15" customHeight="1" x14ac:dyDescent="0.25">
      <c r="B13" s="128" t="s">
        <v>28</v>
      </c>
      <c r="C13" s="129" t="s">
        <v>29</v>
      </c>
      <c r="D13" s="124" t="s">
        <v>13</v>
      </c>
      <c r="E13" s="134">
        <v>44881</v>
      </c>
      <c r="F13" s="201"/>
      <c r="G13" s="125" t="s">
        <v>30</v>
      </c>
      <c r="H13" s="120">
        <v>300</v>
      </c>
      <c r="I13" s="120">
        <v>300</v>
      </c>
      <c r="J13" s="120">
        <v>300</v>
      </c>
      <c r="K13" s="120">
        <v>300</v>
      </c>
      <c r="L13" s="120">
        <v>300</v>
      </c>
      <c r="M13" s="120">
        <v>300</v>
      </c>
      <c r="N13" s="120">
        <v>300</v>
      </c>
      <c r="O13" s="120">
        <v>300</v>
      </c>
      <c r="P13" s="120">
        <v>300</v>
      </c>
      <c r="Q13" s="120">
        <v>300</v>
      </c>
      <c r="R13" s="120">
        <v>300</v>
      </c>
      <c r="S13" s="120">
        <v>300</v>
      </c>
      <c r="T13" s="126">
        <f t="shared" si="2"/>
        <v>3600</v>
      </c>
      <c r="U13" s="126">
        <f t="shared" si="3"/>
        <v>0</v>
      </c>
      <c r="V13" s="127">
        <f>'Cotisation 2024'!U13</f>
        <v>0</v>
      </c>
    </row>
    <row r="14" spans="2:22" ht="27.6" customHeight="1" x14ac:dyDescent="0.25">
      <c r="B14" s="128" t="s">
        <v>31</v>
      </c>
      <c r="C14" s="129" t="s">
        <v>94</v>
      </c>
      <c r="D14" s="129" t="s">
        <v>0</v>
      </c>
      <c r="E14" s="134">
        <v>44838</v>
      </c>
      <c r="F14" s="201"/>
      <c r="G14" s="125" t="s">
        <v>33</v>
      </c>
      <c r="H14" s="120">
        <v>300</v>
      </c>
      <c r="I14" s="120">
        <v>300</v>
      </c>
      <c r="J14" s="120">
        <v>300</v>
      </c>
      <c r="K14" s="120">
        <v>300</v>
      </c>
      <c r="L14" s="120">
        <v>300</v>
      </c>
      <c r="M14" s="120">
        <v>300</v>
      </c>
      <c r="N14" s="120">
        <v>150</v>
      </c>
      <c r="O14" s="55">
        <v>0</v>
      </c>
      <c r="P14" s="55">
        <v>0</v>
      </c>
      <c r="Q14" s="55">
        <v>0</v>
      </c>
      <c r="R14" s="55">
        <v>0</v>
      </c>
      <c r="S14" s="55">
        <v>0</v>
      </c>
      <c r="T14" s="126">
        <f t="shared" si="2"/>
        <v>1950</v>
      </c>
      <c r="U14" s="126">
        <f t="shared" si="3"/>
        <v>-1650</v>
      </c>
      <c r="V14" s="127">
        <f>'Cotisation 2024'!U14</f>
        <v>0</v>
      </c>
    </row>
    <row r="15" spans="2:22" ht="24.6" customHeight="1" x14ac:dyDescent="0.25">
      <c r="B15" s="135" t="s">
        <v>34</v>
      </c>
      <c r="C15" s="129" t="s">
        <v>35</v>
      </c>
      <c r="D15" s="124" t="s">
        <v>13</v>
      </c>
      <c r="E15" s="134">
        <v>44833</v>
      </c>
      <c r="F15" s="201"/>
      <c r="G15" s="125" t="s">
        <v>36</v>
      </c>
      <c r="H15" s="120">
        <v>300</v>
      </c>
      <c r="I15" s="120">
        <v>300</v>
      </c>
      <c r="J15" s="120">
        <v>300</v>
      </c>
      <c r="K15" s="120">
        <v>300</v>
      </c>
      <c r="L15" s="120">
        <v>300</v>
      </c>
      <c r="M15" s="120">
        <v>300</v>
      </c>
      <c r="N15" s="120">
        <v>300</v>
      </c>
      <c r="O15" s="120">
        <v>300</v>
      </c>
      <c r="P15" s="120">
        <v>300</v>
      </c>
      <c r="Q15" s="120">
        <v>300</v>
      </c>
      <c r="R15" s="120">
        <v>300</v>
      </c>
      <c r="S15" s="120">
        <v>300</v>
      </c>
      <c r="T15" s="126">
        <f t="shared" si="2"/>
        <v>3600</v>
      </c>
      <c r="U15" s="126">
        <f t="shared" si="3"/>
        <v>0</v>
      </c>
      <c r="V15" s="127">
        <f>'Cotisation 2024'!U15</f>
        <v>0</v>
      </c>
    </row>
    <row r="16" spans="2:22" ht="24.95" customHeight="1" x14ac:dyDescent="0.25">
      <c r="B16" s="136" t="s">
        <v>37</v>
      </c>
      <c r="C16" s="129" t="s">
        <v>38</v>
      </c>
      <c r="D16" s="124" t="s">
        <v>13</v>
      </c>
      <c r="E16" s="134">
        <v>45387</v>
      </c>
      <c r="F16" s="201"/>
      <c r="G16" s="125" t="s">
        <v>39</v>
      </c>
      <c r="H16" s="120">
        <v>300</v>
      </c>
      <c r="I16" s="120">
        <v>300</v>
      </c>
      <c r="J16" s="120">
        <v>300</v>
      </c>
      <c r="K16" s="120">
        <v>300</v>
      </c>
      <c r="L16" s="120">
        <v>300</v>
      </c>
      <c r="M16" s="120">
        <v>300</v>
      </c>
      <c r="N16" s="120">
        <v>300</v>
      </c>
      <c r="O16" s="120">
        <v>300</v>
      </c>
      <c r="P16" s="120">
        <v>300</v>
      </c>
      <c r="Q16" s="120">
        <v>300</v>
      </c>
      <c r="R16" s="120">
        <v>300</v>
      </c>
      <c r="S16" s="120">
        <v>300</v>
      </c>
      <c r="T16" s="126">
        <f t="shared" si="2"/>
        <v>3600</v>
      </c>
      <c r="U16" s="126">
        <f t="shared" si="3"/>
        <v>0</v>
      </c>
      <c r="V16" s="127">
        <f>'Cotisation 2024'!U16</f>
        <v>-1200</v>
      </c>
    </row>
    <row r="17" spans="2:27" ht="24.95" customHeight="1" x14ac:dyDescent="0.25">
      <c r="B17" s="131" t="s">
        <v>22</v>
      </c>
      <c r="C17" s="129" t="s">
        <v>23</v>
      </c>
      <c r="D17" s="124" t="s">
        <v>13</v>
      </c>
      <c r="E17" s="134">
        <v>44958</v>
      </c>
      <c r="F17" s="201">
        <v>2</v>
      </c>
      <c r="G17" s="125" t="s">
        <v>40</v>
      </c>
      <c r="H17" s="120">
        <v>300</v>
      </c>
      <c r="I17" s="120">
        <v>300</v>
      </c>
      <c r="J17" s="120">
        <v>300</v>
      </c>
      <c r="K17" s="120">
        <v>300</v>
      </c>
      <c r="L17" s="120">
        <v>300</v>
      </c>
      <c r="M17" s="120">
        <v>300</v>
      </c>
      <c r="N17" s="120">
        <v>300</v>
      </c>
      <c r="O17" s="120">
        <v>300</v>
      </c>
      <c r="P17" s="120">
        <v>300</v>
      </c>
      <c r="Q17" s="120">
        <v>300</v>
      </c>
      <c r="R17" s="120">
        <v>300</v>
      </c>
      <c r="S17" s="120">
        <v>300</v>
      </c>
      <c r="T17" s="126">
        <f t="shared" si="2"/>
        <v>3600</v>
      </c>
      <c r="U17" s="126">
        <f t="shared" si="3"/>
        <v>0</v>
      </c>
      <c r="V17" s="127">
        <f>'Cotisation 2024'!U17</f>
        <v>0</v>
      </c>
    </row>
    <row r="18" spans="2:27" ht="24.95" customHeight="1" x14ac:dyDescent="0.25">
      <c r="B18" s="128" t="s">
        <v>41</v>
      </c>
      <c r="C18" s="129" t="s">
        <v>42</v>
      </c>
      <c r="D18" s="124" t="s">
        <v>13</v>
      </c>
      <c r="E18" s="134">
        <v>44813</v>
      </c>
      <c r="F18" s="201"/>
      <c r="G18" s="125" t="s">
        <v>43</v>
      </c>
      <c r="H18" s="120">
        <v>300</v>
      </c>
      <c r="I18" s="120">
        <v>300</v>
      </c>
      <c r="J18" s="120">
        <v>300</v>
      </c>
      <c r="K18" s="120">
        <v>300</v>
      </c>
      <c r="L18" s="120">
        <v>300</v>
      </c>
      <c r="M18" s="120">
        <v>300</v>
      </c>
      <c r="N18" s="120">
        <v>300</v>
      </c>
      <c r="O18" s="120">
        <v>300</v>
      </c>
      <c r="P18" s="120">
        <v>300</v>
      </c>
      <c r="Q18" s="120">
        <v>300</v>
      </c>
      <c r="R18" s="120">
        <v>300</v>
      </c>
      <c r="S18" s="120">
        <v>300</v>
      </c>
      <c r="T18" s="126">
        <f t="shared" si="2"/>
        <v>3600</v>
      </c>
      <c r="U18" s="126">
        <f t="shared" si="3"/>
        <v>0</v>
      </c>
      <c r="V18" s="127">
        <f>'Cotisation 2024'!U18</f>
        <v>0</v>
      </c>
    </row>
    <row r="19" spans="2:27" ht="24.95" customHeight="1" x14ac:dyDescent="0.25">
      <c r="B19" s="128" t="s">
        <v>1</v>
      </c>
      <c r="C19" s="129" t="s">
        <v>44</v>
      </c>
      <c r="D19" s="124" t="s">
        <v>13</v>
      </c>
      <c r="E19" s="134">
        <v>44896</v>
      </c>
      <c r="F19" s="201"/>
      <c r="G19" s="125" t="s">
        <v>45</v>
      </c>
      <c r="H19" s="120">
        <v>300</v>
      </c>
      <c r="I19" s="120">
        <v>300</v>
      </c>
      <c r="J19" s="120">
        <v>300</v>
      </c>
      <c r="K19" s="120">
        <v>300</v>
      </c>
      <c r="L19" s="120">
        <v>300</v>
      </c>
      <c r="M19" s="120">
        <v>300</v>
      </c>
      <c r="N19" s="120">
        <v>300</v>
      </c>
      <c r="O19" s="120">
        <v>300</v>
      </c>
      <c r="P19" s="120">
        <v>300</v>
      </c>
      <c r="Q19" s="120">
        <v>300</v>
      </c>
      <c r="R19" s="120">
        <v>300</v>
      </c>
      <c r="S19" s="120">
        <v>300</v>
      </c>
      <c r="T19" s="126">
        <f t="shared" si="2"/>
        <v>3600</v>
      </c>
      <c r="U19" s="126">
        <f t="shared" si="3"/>
        <v>0</v>
      </c>
      <c r="V19" s="127">
        <f>'Cotisation 2024'!U19</f>
        <v>0</v>
      </c>
    </row>
    <row r="20" spans="2:27" ht="24.95" customHeight="1" x14ac:dyDescent="0.25">
      <c r="B20" s="137" t="s">
        <v>46</v>
      </c>
      <c r="C20" s="129" t="s">
        <v>47</v>
      </c>
      <c r="D20" s="124" t="s">
        <v>13</v>
      </c>
      <c r="E20" s="134">
        <v>44958</v>
      </c>
      <c r="F20" s="201"/>
      <c r="G20" s="125" t="s">
        <v>48</v>
      </c>
      <c r="H20" s="120">
        <v>300</v>
      </c>
      <c r="I20" s="120">
        <v>300</v>
      </c>
      <c r="J20" s="120">
        <v>300</v>
      </c>
      <c r="K20" s="120">
        <v>300</v>
      </c>
      <c r="L20" s="120">
        <v>300</v>
      </c>
      <c r="M20" s="120">
        <v>300</v>
      </c>
      <c r="N20" s="120">
        <v>300</v>
      </c>
      <c r="O20" s="120">
        <v>300</v>
      </c>
      <c r="P20" s="120">
        <v>300</v>
      </c>
      <c r="Q20" s="120">
        <v>300</v>
      </c>
      <c r="R20" s="120">
        <v>300</v>
      </c>
      <c r="S20" s="120">
        <v>300</v>
      </c>
      <c r="T20" s="126">
        <f t="shared" si="2"/>
        <v>3600</v>
      </c>
      <c r="U20" s="126">
        <f t="shared" si="3"/>
        <v>0</v>
      </c>
      <c r="V20" s="127">
        <f>'Cotisation 2024'!U20</f>
        <v>0</v>
      </c>
    </row>
    <row r="21" spans="2:27" ht="24.95" customHeight="1" x14ac:dyDescent="0.25">
      <c r="B21" s="135" t="s">
        <v>34</v>
      </c>
      <c r="C21" s="129" t="s">
        <v>35</v>
      </c>
      <c r="D21" s="124" t="s">
        <v>13</v>
      </c>
      <c r="E21" s="134">
        <v>44833</v>
      </c>
      <c r="F21" s="201"/>
      <c r="G21" s="125" t="s">
        <v>49</v>
      </c>
      <c r="H21" s="120">
        <v>300</v>
      </c>
      <c r="I21" s="120">
        <v>300</v>
      </c>
      <c r="J21" s="120">
        <v>300</v>
      </c>
      <c r="K21" s="120">
        <v>300</v>
      </c>
      <c r="L21" s="120">
        <v>300</v>
      </c>
      <c r="M21" s="120">
        <v>300</v>
      </c>
      <c r="N21" s="120">
        <v>300</v>
      </c>
      <c r="O21" s="120">
        <v>300</v>
      </c>
      <c r="P21" s="120">
        <v>300</v>
      </c>
      <c r="Q21" s="120">
        <v>300</v>
      </c>
      <c r="R21" s="120">
        <v>300</v>
      </c>
      <c r="S21" s="120">
        <v>300</v>
      </c>
      <c r="T21" s="126">
        <f t="shared" si="2"/>
        <v>3600</v>
      </c>
      <c r="U21" s="126">
        <f t="shared" si="3"/>
        <v>0</v>
      </c>
      <c r="V21" s="127">
        <f>'Cotisation 2024'!U21</f>
        <v>0</v>
      </c>
    </row>
    <row r="22" spans="2:27" ht="24" customHeight="1" x14ac:dyDescent="0.25">
      <c r="B22" s="128" t="s">
        <v>50</v>
      </c>
      <c r="C22" s="129" t="s">
        <v>51</v>
      </c>
      <c r="D22" s="129" t="s">
        <v>0</v>
      </c>
      <c r="E22" s="134">
        <v>45139</v>
      </c>
      <c r="F22" s="201"/>
      <c r="G22" s="125" t="s">
        <v>52</v>
      </c>
      <c r="H22" s="55">
        <v>0</v>
      </c>
      <c r="I22" s="55">
        <v>0</v>
      </c>
      <c r="J22" s="55">
        <v>0</v>
      </c>
      <c r="K22" s="55">
        <v>0</v>
      </c>
      <c r="L22" s="55">
        <v>0</v>
      </c>
      <c r="M22" s="55">
        <v>0</v>
      </c>
      <c r="N22" s="55">
        <v>0</v>
      </c>
      <c r="O22" s="55">
        <v>0</v>
      </c>
      <c r="P22" s="55">
        <v>0</v>
      </c>
      <c r="Q22" s="55">
        <v>0</v>
      </c>
      <c r="R22" s="55">
        <v>0</v>
      </c>
      <c r="S22" s="55">
        <v>0</v>
      </c>
      <c r="T22" s="126">
        <f>SUM(H22:S22)</f>
        <v>0</v>
      </c>
      <c r="U22" s="126">
        <f t="shared" si="3"/>
        <v>-3600</v>
      </c>
      <c r="V22" s="127">
        <f>'Cotisation 2024'!U22</f>
        <v>-1980</v>
      </c>
    </row>
    <row r="23" spans="2:27" ht="24.95" customHeight="1" x14ac:dyDescent="0.25">
      <c r="B23" s="138" t="s">
        <v>53</v>
      </c>
      <c r="C23" s="139" t="s">
        <v>54</v>
      </c>
      <c r="D23" s="129" t="s">
        <v>0</v>
      </c>
      <c r="E23" s="134">
        <v>44881</v>
      </c>
      <c r="F23" s="201">
        <v>3</v>
      </c>
      <c r="G23" s="125" t="s">
        <v>55</v>
      </c>
      <c r="H23" s="120">
        <v>300</v>
      </c>
      <c r="I23" s="120">
        <v>300</v>
      </c>
      <c r="J23" s="120">
        <v>300</v>
      </c>
      <c r="K23" s="132">
        <v>300</v>
      </c>
      <c r="L23" s="120">
        <v>300</v>
      </c>
      <c r="M23" s="120">
        <v>300</v>
      </c>
      <c r="N23" s="120">
        <v>300</v>
      </c>
      <c r="O23" s="120">
        <v>300</v>
      </c>
      <c r="P23" s="120">
        <v>300</v>
      </c>
      <c r="Q23" s="120">
        <v>300</v>
      </c>
      <c r="R23" s="120">
        <v>300</v>
      </c>
      <c r="S23" s="120">
        <v>300</v>
      </c>
      <c r="T23" s="126">
        <f t="shared" si="2"/>
        <v>3600</v>
      </c>
      <c r="U23" s="126">
        <f t="shared" si="3"/>
        <v>0</v>
      </c>
      <c r="V23" s="127">
        <f>'Cotisation 2024'!U23</f>
        <v>0</v>
      </c>
    </row>
    <row r="24" spans="2:27" s="34" customFormat="1" ht="24.95" customHeight="1" x14ac:dyDescent="0.25">
      <c r="B24" s="140" t="s">
        <v>56</v>
      </c>
      <c r="C24" s="139" t="s">
        <v>95</v>
      </c>
      <c r="D24" s="141" t="s">
        <v>13</v>
      </c>
      <c r="E24" s="142">
        <v>44958</v>
      </c>
      <c r="F24" s="201"/>
      <c r="G24" s="125" t="s">
        <v>58</v>
      </c>
      <c r="H24" s="55">
        <v>300</v>
      </c>
      <c r="I24" s="55">
        <v>300</v>
      </c>
      <c r="J24" s="55">
        <v>300</v>
      </c>
      <c r="K24" s="55">
        <v>300</v>
      </c>
      <c r="L24" s="55">
        <v>300</v>
      </c>
      <c r="M24" s="55">
        <v>300</v>
      </c>
      <c r="N24" s="55">
        <v>300</v>
      </c>
      <c r="O24" s="55">
        <v>300</v>
      </c>
      <c r="P24" s="55">
        <v>300</v>
      </c>
      <c r="Q24" s="55">
        <v>300</v>
      </c>
      <c r="R24" s="55">
        <v>300</v>
      </c>
      <c r="S24" s="55">
        <v>300</v>
      </c>
      <c r="T24" s="126">
        <f t="shared" si="2"/>
        <v>3600</v>
      </c>
      <c r="U24" s="126">
        <f t="shared" si="3"/>
        <v>0</v>
      </c>
      <c r="V24" s="127">
        <f>'Cotisation 2024'!U24</f>
        <v>0</v>
      </c>
    </row>
    <row r="25" spans="2:27" ht="24.95" customHeight="1" x14ac:dyDescent="0.25">
      <c r="B25" s="128" t="s">
        <v>59</v>
      </c>
      <c r="C25" s="129" t="s">
        <v>60</v>
      </c>
      <c r="D25" s="124" t="s">
        <v>13</v>
      </c>
      <c r="E25" s="134">
        <v>44854</v>
      </c>
      <c r="F25" s="201"/>
      <c r="G25" s="125" t="s">
        <v>61</v>
      </c>
      <c r="H25" s="55">
        <v>300</v>
      </c>
      <c r="I25" s="55">
        <v>300</v>
      </c>
      <c r="J25" s="55">
        <v>300</v>
      </c>
      <c r="K25" s="55">
        <v>300</v>
      </c>
      <c r="L25" s="55">
        <v>300</v>
      </c>
      <c r="M25" s="55">
        <v>300</v>
      </c>
      <c r="N25" s="55">
        <v>300</v>
      </c>
      <c r="O25" s="55">
        <v>300</v>
      </c>
      <c r="P25" s="55">
        <v>300</v>
      </c>
      <c r="Q25" s="55">
        <v>300</v>
      </c>
      <c r="R25" s="55">
        <v>300</v>
      </c>
      <c r="S25" s="55">
        <v>300</v>
      </c>
      <c r="T25" s="126">
        <f t="shared" si="2"/>
        <v>3600</v>
      </c>
      <c r="U25" s="126">
        <f t="shared" si="3"/>
        <v>0</v>
      </c>
      <c r="V25" s="127">
        <f>'Cotisation 2024'!U25</f>
        <v>0</v>
      </c>
    </row>
    <row r="26" spans="2:27" ht="24.95" customHeight="1" x14ac:dyDescent="0.25">
      <c r="B26" s="137" t="s">
        <v>46</v>
      </c>
      <c r="C26" s="129" t="s">
        <v>47</v>
      </c>
      <c r="D26" s="124" t="s">
        <v>13</v>
      </c>
      <c r="E26" s="134">
        <v>44958</v>
      </c>
      <c r="F26" s="201"/>
      <c r="G26" s="125" t="s">
        <v>62</v>
      </c>
      <c r="H26" s="120">
        <v>300</v>
      </c>
      <c r="I26" s="120">
        <v>300</v>
      </c>
      <c r="J26" s="120">
        <v>300</v>
      </c>
      <c r="K26" s="120">
        <v>300</v>
      </c>
      <c r="L26" s="120">
        <v>300</v>
      </c>
      <c r="M26" s="120">
        <v>300</v>
      </c>
      <c r="N26" s="120">
        <v>300</v>
      </c>
      <c r="O26" s="120">
        <v>300</v>
      </c>
      <c r="P26" s="120">
        <v>300</v>
      </c>
      <c r="Q26" s="120">
        <v>300</v>
      </c>
      <c r="R26" s="120">
        <v>300</v>
      </c>
      <c r="S26" s="120">
        <v>300</v>
      </c>
      <c r="T26" s="126">
        <f t="shared" si="2"/>
        <v>3600</v>
      </c>
      <c r="U26" s="126">
        <f t="shared" si="3"/>
        <v>0</v>
      </c>
      <c r="V26" s="127">
        <f>'Cotisation 2024'!U26</f>
        <v>0</v>
      </c>
      <c r="AA26" s="14">
        <f>V40+2640</f>
        <v>-1890</v>
      </c>
    </row>
    <row r="27" spans="2:27" ht="24.95" customHeight="1" x14ac:dyDescent="0.25">
      <c r="B27" s="143" t="s">
        <v>56</v>
      </c>
      <c r="C27" s="139" t="s">
        <v>95</v>
      </c>
      <c r="D27" s="124" t="s">
        <v>13</v>
      </c>
      <c r="E27" s="134">
        <v>44958</v>
      </c>
      <c r="F27" s="201"/>
      <c r="G27" s="125" t="s">
        <v>63</v>
      </c>
      <c r="H27" s="55">
        <v>300</v>
      </c>
      <c r="I27" s="55">
        <v>300</v>
      </c>
      <c r="J27" s="55">
        <v>300</v>
      </c>
      <c r="K27" s="55">
        <v>300</v>
      </c>
      <c r="L27" s="55">
        <v>300</v>
      </c>
      <c r="M27" s="55">
        <v>300</v>
      </c>
      <c r="N27" s="55">
        <v>300</v>
      </c>
      <c r="O27" s="55">
        <v>300</v>
      </c>
      <c r="P27" s="55">
        <v>300</v>
      </c>
      <c r="Q27" s="55">
        <v>300</v>
      </c>
      <c r="R27" s="55">
        <v>300</v>
      </c>
      <c r="S27" s="55">
        <v>300</v>
      </c>
      <c r="T27" s="126">
        <f t="shared" si="2"/>
        <v>3600</v>
      </c>
      <c r="U27" s="126">
        <f t="shared" si="3"/>
        <v>0</v>
      </c>
      <c r="V27" s="127">
        <f>'Cotisation 2024'!U27</f>
        <v>0</v>
      </c>
    </row>
    <row r="28" spans="2:27" ht="24.95" customHeight="1" x14ac:dyDescent="0.25">
      <c r="B28" s="144" t="s">
        <v>64</v>
      </c>
      <c r="C28" s="129" t="s">
        <v>65</v>
      </c>
      <c r="D28" s="124" t="s">
        <v>13</v>
      </c>
      <c r="E28" s="134">
        <v>45108</v>
      </c>
      <c r="F28" s="201"/>
      <c r="G28" s="125" t="s">
        <v>66</v>
      </c>
      <c r="H28" s="55">
        <v>300</v>
      </c>
      <c r="I28" s="55">
        <v>300</v>
      </c>
      <c r="J28" s="55">
        <v>300</v>
      </c>
      <c r="K28" s="55">
        <v>300</v>
      </c>
      <c r="L28" s="55">
        <v>300</v>
      </c>
      <c r="M28" s="55">
        <v>300</v>
      </c>
      <c r="N28" s="55">
        <v>300</v>
      </c>
      <c r="O28" s="55">
        <v>300</v>
      </c>
      <c r="P28" s="55">
        <v>300</v>
      </c>
      <c r="Q28" s="55">
        <v>300</v>
      </c>
      <c r="R28" s="55">
        <v>300</v>
      </c>
      <c r="S28" s="55">
        <v>300</v>
      </c>
      <c r="T28" s="126">
        <f t="shared" si="2"/>
        <v>3600</v>
      </c>
      <c r="U28" s="126">
        <f t="shared" si="3"/>
        <v>0</v>
      </c>
      <c r="V28" s="127">
        <f>'Cotisation 2024'!U28</f>
        <v>0</v>
      </c>
    </row>
    <row r="29" spans="2:27" ht="24.95" customHeight="1" x14ac:dyDescent="0.25">
      <c r="B29" s="137" t="s">
        <v>46</v>
      </c>
      <c r="C29" s="129" t="s">
        <v>47</v>
      </c>
      <c r="D29" s="124" t="s">
        <v>13</v>
      </c>
      <c r="E29" s="134">
        <v>44958</v>
      </c>
      <c r="F29" s="201">
        <v>4</v>
      </c>
      <c r="G29" s="125" t="s">
        <v>67</v>
      </c>
      <c r="H29" s="120">
        <v>300</v>
      </c>
      <c r="I29" s="120">
        <v>300</v>
      </c>
      <c r="J29" s="120">
        <v>300</v>
      </c>
      <c r="K29" s="120">
        <v>300</v>
      </c>
      <c r="L29" s="120">
        <v>300</v>
      </c>
      <c r="M29" s="120">
        <v>300</v>
      </c>
      <c r="N29" s="120">
        <v>300</v>
      </c>
      <c r="O29" s="120">
        <v>300</v>
      </c>
      <c r="P29" s="120">
        <v>300</v>
      </c>
      <c r="Q29" s="120">
        <v>300</v>
      </c>
      <c r="R29" s="120">
        <v>300</v>
      </c>
      <c r="S29" s="120">
        <v>300</v>
      </c>
      <c r="T29" s="126">
        <f t="shared" si="2"/>
        <v>3600</v>
      </c>
      <c r="U29" s="126">
        <f t="shared" si="3"/>
        <v>0</v>
      </c>
      <c r="V29" s="127">
        <f>'Cotisation 2024'!U29</f>
        <v>0</v>
      </c>
    </row>
    <row r="30" spans="2:27" ht="24.95" customHeight="1" x14ac:dyDescent="0.25">
      <c r="B30" s="137" t="s">
        <v>46</v>
      </c>
      <c r="C30" s="129" t="s">
        <v>47</v>
      </c>
      <c r="D30" s="124" t="s">
        <v>13</v>
      </c>
      <c r="E30" s="134">
        <v>44886</v>
      </c>
      <c r="F30" s="201"/>
      <c r="G30" s="125" t="s">
        <v>68</v>
      </c>
      <c r="H30" s="120">
        <v>300</v>
      </c>
      <c r="I30" s="120">
        <v>300</v>
      </c>
      <c r="J30" s="120">
        <v>300</v>
      </c>
      <c r="K30" s="120">
        <v>300</v>
      </c>
      <c r="L30" s="120">
        <v>300</v>
      </c>
      <c r="M30" s="120">
        <v>300</v>
      </c>
      <c r="N30" s="120">
        <v>300</v>
      </c>
      <c r="O30" s="120">
        <v>300</v>
      </c>
      <c r="P30" s="120">
        <v>300</v>
      </c>
      <c r="Q30" s="120">
        <v>300</v>
      </c>
      <c r="R30" s="120">
        <v>300</v>
      </c>
      <c r="S30" s="120">
        <v>300</v>
      </c>
      <c r="T30" s="126">
        <f t="shared" si="2"/>
        <v>3600</v>
      </c>
      <c r="U30" s="126">
        <f t="shared" si="3"/>
        <v>0</v>
      </c>
      <c r="V30" s="127">
        <f>'Cotisation 2024'!U30</f>
        <v>0</v>
      </c>
    </row>
    <row r="31" spans="2:27" ht="24.95" customHeight="1" x14ac:dyDescent="0.25">
      <c r="B31" s="145" t="s">
        <v>64</v>
      </c>
      <c r="C31" s="129" t="s">
        <v>65</v>
      </c>
      <c r="D31" s="124" t="s">
        <v>13</v>
      </c>
      <c r="E31" s="134">
        <v>44851</v>
      </c>
      <c r="F31" s="201"/>
      <c r="G31" s="125" t="s">
        <v>69</v>
      </c>
      <c r="H31" s="55">
        <v>300</v>
      </c>
      <c r="I31" s="55">
        <v>300</v>
      </c>
      <c r="J31" s="55">
        <v>300</v>
      </c>
      <c r="K31" s="55">
        <v>300</v>
      </c>
      <c r="L31" s="55">
        <v>300</v>
      </c>
      <c r="M31" s="55">
        <v>300</v>
      </c>
      <c r="N31" s="55">
        <v>300</v>
      </c>
      <c r="O31" s="55">
        <v>300</v>
      </c>
      <c r="P31" s="55">
        <v>300</v>
      </c>
      <c r="Q31" s="55">
        <v>300</v>
      </c>
      <c r="R31" s="55">
        <v>300</v>
      </c>
      <c r="S31" s="55">
        <v>300</v>
      </c>
      <c r="T31" s="126">
        <f t="shared" si="2"/>
        <v>3600</v>
      </c>
      <c r="U31" s="126">
        <f t="shared" si="3"/>
        <v>0</v>
      </c>
      <c r="V31" s="127">
        <f>'Cotisation 2024'!U31</f>
        <v>0</v>
      </c>
    </row>
    <row r="32" spans="2:27" ht="24.95" customHeight="1" x14ac:dyDescent="0.25">
      <c r="B32" s="133" t="s">
        <v>25</v>
      </c>
      <c r="C32" s="129" t="s">
        <v>26</v>
      </c>
      <c r="D32" s="124" t="s">
        <v>13</v>
      </c>
      <c r="E32" s="134">
        <v>44853</v>
      </c>
      <c r="F32" s="201"/>
      <c r="G32" s="125" t="s">
        <v>70</v>
      </c>
      <c r="H32" s="55">
        <v>300</v>
      </c>
      <c r="I32" s="55">
        <v>300</v>
      </c>
      <c r="J32" s="55">
        <v>300</v>
      </c>
      <c r="K32" s="55">
        <v>300</v>
      </c>
      <c r="L32" s="55">
        <v>300</v>
      </c>
      <c r="M32" s="55">
        <v>300</v>
      </c>
      <c r="N32" s="120">
        <v>300</v>
      </c>
      <c r="O32" s="120">
        <v>300</v>
      </c>
      <c r="P32" s="120">
        <v>300</v>
      </c>
      <c r="Q32" s="120">
        <v>300</v>
      </c>
      <c r="R32" s="120">
        <v>300</v>
      </c>
      <c r="S32" s="120">
        <v>300</v>
      </c>
      <c r="T32" s="126">
        <f t="shared" si="2"/>
        <v>3600</v>
      </c>
      <c r="U32" s="126">
        <f t="shared" si="3"/>
        <v>0</v>
      </c>
      <c r="V32" s="127">
        <f>'Cotisation 2024'!U32</f>
        <v>0</v>
      </c>
    </row>
    <row r="33" spans="2:22" ht="24.95" customHeight="1" x14ac:dyDescent="0.25">
      <c r="B33" s="128" t="s">
        <v>71</v>
      </c>
      <c r="C33" s="129" t="s">
        <v>72</v>
      </c>
      <c r="D33" s="124" t="s">
        <v>13</v>
      </c>
      <c r="E33" s="134">
        <v>44881</v>
      </c>
      <c r="F33" s="201"/>
      <c r="G33" s="125" t="s">
        <v>73</v>
      </c>
      <c r="H33" s="55">
        <v>300</v>
      </c>
      <c r="I33" s="55">
        <v>300</v>
      </c>
      <c r="J33" s="55">
        <v>300</v>
      </c>
      <c r="K33" s="55">
        <v>300</v>
      </c>
      <c r="L33" s="55">
        <v>300</v>
      </c>
      <c r="M33" s="55">
        <v>300</v>
      </c>
      <c r="N33" s="55">
        <v>300</v>
      </c>
      <c r="O33" s="55">
        <v>300</v>
      </c>
      <c r="P33" s="55">
        <v>300</v>
      </c>
      <c r="Q33" s="55">
        <v>300</v>
      </c>
      <c r="R33" s="55">
        <v>300</v>
      </c>
      <c r="S33" s="55">
        <v>300</v>
      </c>
      <c r="T33" s="126">
        <f t="shared" si="2"/>
        <v>3600</v>
      </c>
      <c r="U33" s="126">
        <f t="shared" si="3"/>
        <v>0</v>
      </c>
      <c r="V33" s="127">
        <f>'Cotisation 2024'!U33</f>
        <v>0</v>
      </c>
    </row>
    <row r="34" spans="2:22" ht="24.95" customHeight="1" x14ac:dyDescent="0.25">
      <c r="B34" s="136" t="s">
        <v>37</v>
      </c>
      <c r="C34" s="129" t="s">
        <v>38</v>
      </c>
      <c r="D34" s="124" t="s">
        <v>13</v>
      </c>
      <c r="E34" s="134">
        <v>45474</v>
      </c>
      <c r="F34" s="201"/>
      <c r="G34" s="125" t="s">
        <v>74</v>
      </c>
      <c r="H34" s="55">
        <v>300</v>
      </c>
      <c r="I34" s="55">
        <v>300</v>
      </c>
      <c r="J34" s="55">
        <v>300</v>
      </c>
      <c r="K34" s="55">
        <v>300</v>
      </c>
      <c r="L34" s="55">
        <v>300</v>
      </c>
      <c r="M34" s="55">
        <v>300</v>
      </c>
      <c r="N34" s="55">
        <v>300</v>
      </c>
      <c r="O34" s="55">
        <v>300</v>
      </c>
      <c r="P34" s="55">
        <v>300</v>
      </c>
      <c r="Q34" s="55">
        <v>300</v>
      </c>
      <c r="R34" s="55">
        <v>300</v>
      </c>
      <c r="S34" s="55">
        <v>300</v>
      </c>
      <c r="T34" s="126">
        <f t="shared" si="2"/>
        <v>3600</v>
      </c>
      <c r="U34" s="126">
        <f t="shared" si="3"/>
        <v>0</v>
      </c>
      <c r="V34" s="127">
        <f>'Cotisation 2024'!U34</f>
        <v>0</v>
      </c>
    </row>
    <row r="35" spans="2:22" ht="24.95" customHeight="1" x14ac:dyDescent="0.25">
      <c r="B35" s="128" t="s">
        <v>75</v>
      </c>
      <c r="C35" s="129" t="s">
        <v>76</v>
      </c>
      <c r="D35" s="124" t="s">
        <v>13</v>
      </c>
      <c r="E35" s="134">
        <v>44816</v>
      </c>
      <c r="F35" s="201">
        <v>5</v>
      </c>
      <c r="G35" s="125" t="s">
        <v>77</v>
      </c>
      <c r="H35" s="55">
        <v>300</v>
      </c>
      <c r="I35" s="55">
        <v>300</v>
      </c>
      <c r="J35" s="55">
        <v>300</v>
      </c>
      <c r="K35" s="55">
        <v>300</v>
      </c>
      <c r="L35" s="55">
        <v>300</v>
      </c>
      <c r="M35" s="55">
        <v>300</v>
      </c>
      <c r="N35" s="120">
        <v>300</v>
      </c>
      <c r="O35" s="120">
        <v>300</v>
      </c>
      <c r="P35" s="120">
        <v>300</v>
      </c>
      <c r="Q35" s="120">
        <v>300</v>
      </c>
      <c r="R35" s="120">
        <v>300</v>
      </c>
      <c r="S35" s="120">
        <v>300</v>
      </c>
      <c r="T35" s="126">
        <f t="shared" si="2"/>
        <v>3600</v>
      </c>
      <c r="U35" s="126">
        <f t="shared" si="3"/>
        <v>0</v>
      </c>
      <c r="V35" s="127">
        <f>'Cotisation 2024'!U35</f>
        <v>0</v>
      </c>
    </row>
    <row r="36" spans="2:22" ht="24.95" customHeight="1" x14ac:dyDescent="0.25">
      <c r="B36" s="128" t="s">
        <v>78</v>
      </c>
      <c r="C36" s="129" t="s">
        <v>79</v>
      </c>
      <c r="D36" s="124" t="s">
        <v>13</v>
      </c>
      <c r="E36" s="134">
        <v>44832</v>
      </c>
      <c r="F36" s="201"/>
      <c r="G36" s="125" t="s">
        <v>80</v>
      </c>
      <c r="H36" s="55">
        <v>300</v>
      </c>
      <c r="I36" s="55">
        <v>300</v>
      </c>
      <c r="J36" s="55">
        <v>300</v>
      </c>
      <c r="K36" s="55">
        <v>300</v>
      </c>
      <c r="L36" s="55">
        <v>300</v>
      </c>
      <c r="M36" s="55">
        <v>300</v>
      </c>
      <c r="N36" s="55">
        <v>300</v>
      </c>
      <c r="O36" s="55">
        <v>300</v>
      </c>
      <c r="P36" s="55">
        <v>300</v>
      </c>
      <c r="Q36" s="55">
        <v>300</v>
      </c>
      <c r="R36" s="55">
        <v>300</v>
      </c>
      <c r="S36" s="55">
        <v>300</v>
      </c>
      <c r="T36" s="126">
        <f t="shared" si="2"/>
        <v>3600</v>
      </c>
      <c r="U36" s="126">
        <f t="shared" si="3"/>
        <v>0</v>
      </c>
      <c r="V36" s="127">
        <f>'Cotisation 2024'!U36</f>
        <v>0</v>
      </c>
    </row>
    <row r="37" spans="2:22" ht="24.95" customHeight="1" x14ac:dyDescent="0.25">
      <c r="B37" s="128" t="s">
        <v>81</v>
      </c>
      <c r="C37" s="129" t="s">
        <v>82</v>
      </c>
      <c r="D37" s="124" t="s">
        <v>13</v>
      </c>
      <c r="E37" s="134">
        <v>44846</v>
      </c>
      <c r="F37" s="201"/>
      <c r="G37" s="125" t="s">
        <v>83</v>
      </c>
      <c r="H37" s="55">
        <v>0</v>
      </c>
      <c r="I37" s="55">
        <v>0</v>
      </c>
      <c r="J37" s="55">
        <v>0</v>
      </c>
      <c r="K37" s="55">
        <v>0</v>
      </c>
      <c r="L37" s="55">
        <v>0</v>
      </c>
      <c r="M37" s="55">
        <v>0</v>
      </c>
      <c r="N37" s="55">
        <v>0</v>
      </c>
      <c r="O37" s="55">
        <v>0</v>
      </c>
      <c r="P37" s="55">
        <v>0</v>
      </c>
      <c r="Q37" s="55">
        <v>0</v>
      </c>
      <c r="R37" s="55">
        <v>0</v>
      </c>
      <c r="S37" s="55">
        <v>0</v>
      </c>
      <c r="T37" s="126">
        <f t="shared" si="2"/>
        <v>0</v>
      </c>
      <c r="U37" s="126">
        <f t="shared" si="3"/>
        <v>-3600</v>
      </c>
      <c r="V37" s="127">
        <f>'Cotisation 2024'!U37</f>
        <v>0</v>
      </c>
    </row>
    <row r="38" spans="2:22" ht="24.95" customHeight="1" x14ac:dyDescent="0.25">
      <c r="B38" s="128" t="s">
        <v>2</v>
      </c>
      <c r="C38" s="129" t="s">
        <v>84</v>
      </c>
      <c r="D38" s="124" t="s">
        <v>13</v>
      </c>
      <c r="E38" s="134">
        <v>44881</v>
      </c>
      <c r="F38" s="201"/>
      <c r="G38" s="125" t="s">
        <v>85</v>
      </c>
      <c r="H38" s="55">
        <v>300</v>
      </c>
      <c r="I38" s="55">
        <v>300</v>
      </c>
      <c r="J38" s="55">
        <v>300</v>
      </c>
      <c r="K38" s="55">
        <v>300</v>
      </c>
      <c r="L38" s="55">
        <v>300</v>
      </c>
      <c r="M38" s="55">
        <v>300</v>
      </c>
      <c r="N38" s="55">
        <v>300</v>
      </c>
      <c r="O38" s="55">
        <v>300</v>
      </c>
      <c r="P38" s="55">
        <v>300</v>
      </c>
      <c r="Q38" s="55">
        <v>300</v>
      </c>
      <c r="R38" s="55">
        <v>300</v>
      </c>
      <c r="S38" s="55">
        <v>300</v>
      </c>
      <c r="T38" s="126">
        <f t="shared" si="2"/>
        <v>3600</v>
      </c>
      <c r="U38" s="126">
        <f t="shared" si="3"/>
        <v>0</v>
      </c>
      <c r="V38" s="127">
        <f>'Cotisation 2024'!U38</f>
        <v>0</v>
      </c>
    </row>
    <row r="39" spans="2:22" ht="24.95" customHeight="1" x14ac:dyDescent="0.25">
      <c r="B39" s="128" t="s">
        <v>86</v>
      </c>
      <c r="C39" s="129" t="s">
        <v>87</v>
      </c>
      <c r="D39" s="124" t="s">
        <v>13</v>
      </c>
      <c r="E39" s="134">
        <v>45139</v>
      </c>
      <c r="F39" s="201"/>
      <c r="G39" s="125" t="s">
        <v>88</v>
      </c>
      <c r="H39" s="55">
        <v>300</v>
      </c>
      <c r="I39" s="55">
        <v>300</v>
      </c>
      <c r="J39" s="55">
        <v>300</v>
      </c>
      <c r="K39" s="55">
        <v>300</v>
      </c>
      <c r="L39" s="55">
        <v>300</v>
      </c>
      <c r="M39" s="55">
        <v>300</v>
      </c>
      <c r="N39" s="55">
        <v>300</v>
      </c>
      <c r="O39" s="55">
        <v>300</v>
      </c>
      <c r="P39" s="55">
        <v>300</v>
      </c>
      <c r="Q39" s="55">
        <v>300</v>
      </c>
      <c r="R39" s="55">
        <v>300</v>
      </c>
      <c r="S39" s="55">
        <v>300</v>
      </c>
      <c r="T39" s="126">
        <f t="shared" si="2"/>
        <v>3600</v>
      </c>
      <c r="U39" s="126">
        <f t="shared" si="3"/>
        <v>0</v>
      </c>
      <c r="V39" s="127">
        <f>'Cotisation 2024'!U39</f>
        <v>0</v>
      </c>
    </row>
    <row r="40" spans="2:22" ht="42" customHeight="1" x14ac:dyDescent="0.25">
      <c r="B40" s="146"/>
      <c r="C40" s="146"/>
      <c r="D40" s="147"/>
      <c r="E40" s="147"/>
      <c r="F40" s="203" t="s">
        <v>89</v>
      </c>
      <c r="G40" s="203"/>
      <c r="H40" s="148">
        <f t="shared" ref="H40:V40" si="4">SUM(H7:H39)</f>
        <v>8700</v>
      </c>
      <c r="I40" s="148">
        <f t="shared" si="4"/>
        <v>8700</v>
      </c>
      <c r="J40" s="148">
        <f t="shared" si="4"/>
        <v>8700</v>
      </c>
      <c r="K40" s="148">
        <f t="shared" si="4"/>
        <v>8700</v>
      </c>
      <c r="L40" s="148">
        <f t="shared" si="4"/>
        <v>8700</v>
      </c>
      <c r="M40" s="148">
        <f t="shared" si="4"/>
        <v>8700</v>
      </c>
      <c r="N40" s="148">
        <f t="shared" si="4"/>
        <v>8550</v>
      </c>
      <c r="O40" s="148">
        <f t="shared" si="4"/>
        <v>8400</v>
      </c>
      <c r="P40" s="148">
        <f t="shared" si="4"/>
        <v>8400</v>
      </c>
      <c r="Q40" s="148">
        <f t="shared" si="4"/>
        <v>8400</v>
      </c>
      <c r="R40" s="148">
        <f t="shared" si="4"/>
        <v>8400</v>
      </c>
      <c r="S40" s="148">
        <f t="shared" si="4"/>
        <v>8400</v>
      </c>
      <c r="T40" s="149">
        <f t="shared" si="4"/>
        <v>102750</v>
      </c>
      <c r="U40" s="149">
        <f t="shared" si="4"/>
        <v>-8850</v>
      </c>
      <c r="V40" s="149">
        <f t="shared" si="4"/>
        <v>-4530</v>
      </c>
    </row>
    <row r="41" spans="2:22" x14ac:dyDescent="0.25">
      <c r="B41" s="1"/>
      <c r="C41" s="1"/>
      <c r="D41" s="1"/>
      <c r="E41" s="1"/>
      <c r="F41" s="1"/>
      <c r="G41" s="1"/>
      <c r="H41" s="7"/>
      <c r="I41" s="7"/>
      <c r="J41" s="7"/>
      <c r="K41" s="204"/>
      <c r="L41" s="204"/>
      <c r="M41" s="1"/>
      <c r="N41" s="1"/>
      <c r="O41" s="1"/>
      <c r="P41" s="1"/>
      <c r="Q41" s="1"/>
      <c r="R41" s="1"/>
      <c r="S41" s="1"/>
      <c r="T41" s="1"/>
      <c r="U41" s="1"/>
      <c r="V41" s="1"/>
    </row>
    <row r="43" spans="2:22" x14ac:dyDescent="0.25">
      <c r="T43" s="1"/>
      <c r="U43" s="1"/>
    </row>
  </sheetData>
  <autoFilter ref="B6:V40" xr:uid="{239BF5FA-E377-4D74-AEE2-1C2DBB461857}"/>
  <mergeCells count="9">
    <mergeCell ref="F29:F34"/>
    <mergeCell ref="F5:S5"/>
    <mergeCell ref="F7:F10"/>
    <mergeCell ref="F11:F16"/>
    <mergeCell ref="F17:F22"/>
    <mergeCell ref="F23:F28"/>
    <mergeCell ref="F35:F39"/>
    <mergeCell ref="F40:G40"/>
    <mergeCell ref="K41:L41"/>
  </mergeCells>
  <conditionalFormatting sqref="D7:D39">
    <cfRule type="containsText" dxfId="16" priority="7" operator="containsText" text="ok">
      <formula>NOT(ISERROR(SEARCH("ok",D7)))</formula>
    </cfRule>
    <cfRule type="containsText" dxfId="15" priority="8" operator="containsText" text="ok">
      <formula>NOT(ISERROR(SEARCH("ok",D7)))</formula>
    </cfRule>
    <cfRule type="containsText" dxfId="14" priority="9" operator="containsText" text="ok">
      <formula>NOT(ISERROR(SEARCH("ok",D7)))</formula>
    </cfRule>
  </conditionalFormatting>
  <conditionalFormatting sqref="H22:L22 N22:S22 H24:S25 H27:S28 H31:S39">
    <cfRule type="cellIs" dxfId="13" priority="15" operator="greaterThan">
      <formula>0</formula>
    </cfRule>
  </conditionalFormatting>
  <conditionalFormatting sqref="V7:V39">
    <cfRule type="cellIs" dxfId="12" priority="1" operator="greaterThan">
      <formula>0</formula>
    </cfRule>
    <cfRule type="cellIs" dxfId="11" priority="2" operator="lessThan">
      <formula>0</formula>
    </cfRule>
  </conditionalFormatting>
  <pageMargins left="0.7" right="0.7" top="0.75" bottom="0.75" header="0.3" footer="0.3"/>
  <pageSetup paperSize="9" orientation="portrait" horizontalDpi="1200" verticalDpi="12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6" operator="containsText" id="{A458DA2C-CA70-49AA-8D0D-B2236CBB9ABA}">
            <xm:f>NOT(ISERROR(SEARCH("-",D7)))</xm:f>
            <xm:f>"-"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D7:D39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Feuil4">
    <pageSetUpPr fitToPage="1"/>
  </sheetPr>
  <dimension ref="A1:U42"/>
  <sheetViews>
    <sheetView zoomScale="40" zoomScaleNormal="40" zoomScalePageLayoutView="40" workbookViewId="0">
      <selection activeCell="A42" sqref="A42:XFD44"/>
    </sheetView>
  </sheetViews>
  <sheetFormatPr baseColWidth="10" defaultColWidth="9.140625" defaultRowHeight="15" x14ac:dyDescent="0.25"/>
  <cols>
    <col min="1" max="1" width="3.5703125" customWidth="1"/>
    <col min="2" max="2" width="50.28515625" bestFit="1" customWidth="1"/>
    <col min="3" max="3" width="23" bestFit="1" customWidth="1"/>
    <col min="4" max="4" width="8.7109375" customWidth="1"/>
    <col min="5" max="5" width="17.42578125" customWidth="1"/>
    <col min="6" max="6" width="9.28515625" customWidth="1"/>
    <col min="7" max="7" width="24.5703125" bestFit="1" customWidth="1"/>
    <col min="8" max="10" width="17.28515625" bestFit="1" customWidth="1"/>
    <col min="11" max="11" width="16.42578125" bestFit="1" customWidth="1"/>
    <col min="12" max="12" width="16.140625" bestFit="1" customWidth="1"/>
    <col min="13" max="13" width="16.28515625" bestFit="1" customWidth="1"/>
    <col min="14" max="14" width="16.42578125" bestFit="1" customWidth="1"/>
    <col min="15" max="15" width="14.28515625" customWidth="1"/>
    <col min="16" max="16" width="15.140625" customWidth="1"/>
    <col min="17" max="17" width="16.7109375" bestFit="1" customWidth="1"/>
    <col min="18" max="18" width="12.85546875" customWidth="1"/>
    <col min="19" max="19" width="13.140625" customWidth="1"/>
    <col min="20" max="20" width="28" bestFit="1" customWidth="1"/>
    <col min="21" max="21" width="26.5703125" bestFit="1" customWidth="1"/>
  </cols>
  <sheetData>
    <row r="1" spans="1:21" ht="28.5" customHeight="1" x14ac:dyDescent="0.25"/>
    <row r="3" spans="1:21" ht="102" customHeight="1" x14ac:dyDescent="0.25"/>
    <row r="4" spans="1:21" ht="48.75" customHeight="1" thickBot="1" x14ac:dyDescent="0.3"/>
    <row r="5" spans="1:21" ht="42.75" customHeight="1" thickBot="1" x14ac:dyDescent="0.3">
      <c r="B5" s="4"/>
      <c r="C5" s="4"/>
      <c r="D5" s="4"/>
      <c r="E5" s="4"/>
      <c r="F5" s="209" t="s">
        <v>3</v>
      </c>
      <c r="G5" s="210"/>
      <c r="H5" s="210"/>
      <c r="I5" s="210"/>
      <c r="J5" s="210"/>
      <c r="K5" s="210"/>
      <c r="L5" s="210"/>
      <c r="M5" s="210"/>
      <c r="N5" s="210"/>
      <c r="O5" s="210"/>
      <c r="P5" s="210"/>
      <c r="Q5" s="210"/>
      <c r="R5" s="210"/>
      <c r="S5" s="211"/>
      <c r="T5" s="13" t="s">
        <v>4</v>
      </c>
      <c r="U5" s="29">
        <f ca="1">TODAY()</f>
        <v>46314</v>
      </c>
    </row>
    <row r="6" spans="1:21" ht="44.25" customHeight="1" thickBot="1" x14ac:dyDescent="0.3">
      <c r="B6" s="3" t="s">
        <v>5</v>
      </c>
      <c r="C6" s="3" t="s">
        <v>6</v>
      </c>
      <c r="D6" s="3" t="s">
        <v>7</v>
      </c>
      <c r="E6" s="3" t="s">
        <v>8</v>
      </c>
      <c r="F6" s="39" t="s">
        <v>9</v>
      </c>
      <c r="G6" s="40" t="s">
        <v>10</v>
      </c>
      <c r="H6" s="41">
        <v>45292</v>
      </c>
      <c r="I6" s="42">
        <v>45323</v>
      </c>
      <c r="J6" s="43">
        <v>45352</v>
      </c>
      <c r="K6" s="41">
        <v>45383</v>
      </c>
      <c r="L6" s="42">
        <v>45413</v>
      </c>
      <c r="M6" s="43">
        <v>45444</v>
      </c>
      <c r="N6" s="41">
        <v>45474</v>
      </c>
      <c r="O6" s="42">
        <v>45505</v>
      </c>
      <c r="P6" s="43">
        <v>45536</v>
      </c>
      <c r="Q6" s="41">
        <v>45566</v>
      </c>
      <c r="R6" s="42">
        <v>45597</v>
      </c>
      <c r="S6" s="43">
        <v>45627</v>
      </c>
      <c r="T6" s="44" t="s">
        <v>11</v>
      </c>
      <c r="U6" s="44" t="s">
        <v>97</v>
      </c>
    </row>
    <row r="7" spans="1:21" ht="24.95" customHeight="1" x14ac:dyDescent="0.25">
      <c r="B7" s="15" t="s">
        <v>12</v>
      </c>
      <c r="C7" s="9"/>
      <c r="D7" s="45" t="s">
        <v>13</v>
      </c>
      <c r="E7" s="46"/>
      <c r="F7" s="212" t="s">
        <v>14</v>
      </c>
      <c r="G7" s="47" t="s">
        <v>15</v>
      </c>
      <c r="H7" s="48">
        <v>150</v>
      </c>
      <c r="I7" s="49">
        <v>150</v>
      </c>
      <c r="J7" s="50">
        <v>150</v>
      </c>
      <c r="K7" s="48">
        <v>150</v>
      </c>
      <c r="L7" s="49">
        <v>150</v>
      </c>
      <c r="M7" s="50">
        <v>150</v>
      </c>
      <c r="N7" s="48">
        <v>150</v>
      </c>
      <c r="O7" s="49">
        <v>150</v>
      </c>
      <c r="P7" s="50">
        <v>150</v>
      </c>
      <c r="Q7" s="48">
        <v>150</v>
      </c>
      <c r="R7" s="49">
        <v>150</v>
      </c>
      <c r="S7" s="50">
        <v>150</v>
      </c>
      <c r="T7" s="58">
        <f t="shared" ref="T7:T8" si="0">SUM(H7:S7)</f>
        <v>1800</v>
      </c>
      <c r="U7" s="101">
        <f>-(1800-T7)</f>
        <v>0</v>
      </c>
    </row>
    <row r="8" spans="1:21" ht="24.95" customHeight="1" x14ac:dyDescent="0.25">
      <c r="B8" s="38" t="s">
        <v>16</v>
      </c>
      <c r="C8" s="35" t="s">
        <v>17</v>
      </c>
      <c r="D8" s="51" t="s">
        <v>13</v>
      </c>
      <c r="E8" s="52">
        <v>45313</v>
      </c>
      <c r="F8" s="213"/>
      <c r="G8" s="53" t="s">
        <v>18</v>
      </c>
      <c r="H8" s="62" t="s">
        <v>19</v>
      </c>
      <c r="I8" s="63" t="s">
        <v>19</v>
      </c>
      <c r="J8" s="64" t="s">
        <v>19</v>
      </c>
      <c r="K8" s="65" t="s">
        <v>19</v>
      </c>
      <c r="L8" s="63" t="s">
        <v>19</v>
      </c>
      <c r="M8" s="64" t="s">
        <v>19</v>
      </c>
      <c r="N8" s="65" t="s">
        <v>19</v>
      </c>
      <c r="O8" s="63" t="s">
        <v>19</v>
      </c>
      <c r="P8" s="64" t="s">
        <v>19</v>
      </c>
      <c r="Q8" s="62">
        <v>150</v>
      </c>
      <c r="R8" s="63">
        <v>150</v>
      </c>
      <c r="S8" s="64">
        <v>150</v>
      </c>
      <c r="T8" s="58">
        <f t="shared" si="0"/>
        <v>450</v>
      </c>
      <c r="U8" s="59">
        <f t="shared" ref="U8:U10" si="1">-(1800-T8)</f>
        <v>-1350</v>
      </c>
    </row>
    <row r="9" spans="1:21" ht="24.95" customHeight="1" x14ac:dyDescent="0.25">
      <c r="B9" s="16" t="s">
        <v>12</v>
      </c>
      <c r="C9" s="27"/>
      <c r="D9" s="35"/>
      <c r="E9" s="52"/>
      <c r="F9" s="213"/>
      <c r="G9" s="53" t="s">
        <v>20</v>
      </c>
      <c r="H9" s="57">
        <v>150</v>
      </c>
      <c r="I9" s="55">
        <v>150</v>
      </c>
      <c r="J9" s="56">
        <v>150</v>
      </c>
      <c r="K9" s="54">
        <v>150</v>
      </c>
      <c r="L9" s="55">
        <v>150</v>
      </c>
      <c r="M9" s="56">
        <v>150</v>
      </c>
      <c r="N9" s="54">
        <v>150</v>
      </c>
      <c r="O9" s="55">
        <v>150</v>
      </c>
      <c r="P9" s="56">
        <v>150</v>
      </c>
      <c r="Q9" s="54">
        <v>150</v>
      </c>
      <c r="R9" s="55">
        <v>150</v>
      </c>
      <c r="S9" s="56">
        <v>150</v>
      </c>
      <c r="T9" s="58">
        <f t="shared" ref="T9:T39" si="2">SUM(H9:S9)</f>
        <v>1800</v>
      </c>
      <c r="U9" s="59">
        <f t="shared" si="1"/>
        <v>0</v>
      </c>
    </row>
    <row r="10" spans="1:21" ht="24.95" customHeight="1" thickBot="1" x14ac:dyDescent="0.3">
      <c r="B10" s="16" t="s">
        <v>12</v>
      </c>
      <c r="C10" s="11"/>
      <c r="D10" s="60" t="s">
        <v>13</v>
      </c>
      <c r="E10" s="52"/>
      <c r="F10" s="213"/>
      <c r="G10" s="61" t="s">
        <v>21</v>
      </c>
      <c r="H10" s="173">
        <v>150</v>
      </c>
      <c r="I10" s="174">
        <v>150</v>
      </c>
      <c r="J10" s="175">
        <v>150</v>
      </c>
      <c r="K10" s="173">
        <v>150</v>
      </c>
      <c r="L10" s="174">
        <v>150</v>
      </c>
      <c r="M10" s="175">
        <v>150</v>
      </c>
      <c r="N10" s="173">
        <v>150</v>
      </c>
      <c r="O10" s="174">
        <v>150</v>
      </c>
      <c r="P10" s="175">
        <v>150</v>
      </c>
      <c r="Q10" s="173">
        <v>150</v>
      </c>
      <c r="R10" s="174">
        <v>150</v>
      </c>
      <c r="S10" s="175">
        <v>150</v>
      </c>
      <c r="T10" s="66">
        <f t="shared" si="2"/>
        <v>1800</v>
      </c>
      <c r="U10" s="67">
        <f t="shared" si="1"/>
        <v>0</v>
      </c>
    </row>
    <row r="11" spans="1:21" ht="24.95" customHeight="1" x14ac:dyDescent="0.25">
      <c r="A11" s="36"/>
      <c r="B11" s="23" t="s">
        <v>22</v>
      </c>
      <c r="C11" s="25" t="s">
        <v>23</v>
      </c>
      <c r="D11" s="68" t="s">
        <v>13</v>
      </c>
      <c r="E11" s="69">
        <v>44958</v>
      </c>
      <c r="F11" s="214">
        <v>1</v>
      </c>
      <c r="G11" s="70" t="s">
        <v>24</v>
      </c>
      <c r="H11" s="71">
        <v>360</v>
      </c>
      <c r="I11" s="72">
        <v>360</v>
      </c>
      <c r="J11" s="73">
        <v>360</v>
      </c>
      <c r="K11" s="74">
        <v>300</v>
      </c>
      <c r="L11" s="75">
        <v>300</v>
      </c>
      <c r="M11" s="76">
        <v>300</v>
      </c>
      <c r="N11" s="74">
        <v>300</v>
      </c>
      <c r="O11" s="75">
        <v>300</v>
      </c>
      <c r="P11" s="77">
        <v>300</v>
      </c>
      <c r="Q11" s="78">
        <v>300</v>
      </c>
      <c r="R11" s="75">
        <v>300</v>
      </c>
      <c r="S11" s="77">
        <v>300</v>
      </c>
      <c r="T11" s="79">
        <f>SUM(H11:S11)</f>
        <v>3780</v>
      </c>
      <c r="U11" s="79">
        <f>-(3780-T11)</f>
        <v>0</v>
      </c>
    </row>
    <row r="12" spans="1:21" ht="24.95" customHeight="1" x14ac:dyDescent="0.25">
      <c r="A12" s="36"/>
      <c r="B12" s="17" t="s">
        <v>25</v>
      </c>
      <c r="C12" s="26" t="s">
        <v>26</v>
      </c>
      <c r="D12" s="80" t="s">
        <v>13</v>
      </c>
      <c r="E12" s="52">
        <v>44813</v>
      </c>
      <c r="F12" s="215"/>
      <c r="G12" s="53" t="s">
        <v>27</v>
      </c>
      <c r="H12" s="81">
        <v>360</v>
      </c>
      <c r="I12" s="82">
        <v>360</v>
      </c>
      <c r="J12" s="83">
        <v>360</v>
      </c>
      <c r="K12" s="57">
        <v>300</v>
      </c>
      <c r="L12" s="55">
        <v>300</v>
      </c>
      <c r="M12" s="84">
        <v>300</v>
      </c>
      <c r="N12" s="57">
        <v>300</v>
      </c>
      <c r="O12" s="55">
        <v>300</v>
      </c>
      <c r="P12" s="56">
        <v>300</v>
      </c>
      <c r="Q12" s="54">
        <v>300</v>
      </c>
      <c r="R12" s="55">
        <v>300</v>
      </c>
      <c r="S12" s="56">
        <v>300</v>
      </c>
      <c r="T12" s="59">
        <f t="shared" si="2"/>
        <v>3780</v>
      </c>
      <c r="U12" s="79">
        <f t="shared" ref="U12:U39" si="3">-(3780-T12)</f>
        <v>0</v>
      </c>
    </row>
    <row r="13" spans="1:21" ht="28.15" customHeight="1" x14ac:dyDescent="0.25">
      <c r="A13" s="36"/>
      <c r="B13" s="12" t="s">
        <v>28</v>
      </c>
      <c r="C13" s="27" t="s">
        <v>29</v>
      </c>
      <c r="D13" s="80" t="s">
        <v>13</v>
      </c>
      <c r="E13" s="85">
        <v>44881</v>
      </c>
      <c r="F13" s="215"/>
      <c r="G13" s="86" t="s">
        <v>30</v>
      </c>
      <c r="H13" s="87">
        <v>360</v>
      </c>
      <c r="I13" s="88">
        <v>360</v>
      </c>
      <c r="J13" s="89">
        <v>360</v>
      </c>
      <c r="K13" s="57">
        <v>300</v>
      </c>
      <c r="L13" s="55">
        <v>300</v>
      </c>
      <c r="M13" s="84">
        <v>300</v>
      </c>
      <c r="N13" s="57">
        <v>300</v>
      </c>
      <c r="O13" s="55">
        <v>300</v>
      </c>
      <c r="P13" s="56">
        <v>300</v>
      </c>
      <c r="Q13" s="90">
        <v>300</v>
      </c>
      <c r="R13" s="91">
        <v>300</v>
      </c>
      <c r="S13" s="92">
        <v>300</v>
      </c>
      <c r="T13" s="79">
        <f t="shared" si="2"/>
        <v>3780</v>
      </c>
      <c r="U13" s="79">
        <f t="shared" si="3"/>
        <v>0</v>
      </c>
    </row>
    <row r="14" spans="1:21" ht="27.6" customHeight="1" x14ac:dyDescent="0.25">
      <c r="B14" s="10" t="s">
        <v>31</v>
      </c>
      <c r="C14" s="26" t="s">
        <v>32</v>
      </c>
      <c r="D14" s="26" t="s">
        <v>0</v>
      </c>
      <c r="E14" s="93">
        <v>44838</v>
      </c>
      <c r="F14" s="215"/>
      <c r="G14" s="94" t="s">
        <v>33</v>
      </c>
      <c r="H14" s="57">
        <v>360</v>
      </c>
      <c r="I14" s="55">
        <v>360</v>
      </c>
      <c r="J14" s="84">
        <v>360</v>
      </c>
      <c r="K14" s="57">
        <v>300</v>
      </c>
      <c r="L14" s="55">
        <v>300</v>
      </c>
      <c r="M14" s="56">
        <v>300</v>
      </c>
      <c r="N14" s="57">
        <v>300</v>
      </c>
      <c r="O14" s="55">
        <v>300</v>
      </c>
      <c r="P14" s="56">
        <v>300</v>
      </c>
      <c r="Q14" s="54">
        <v>300</v>
      </c>
      <c r="R14" s="55">
        <v>300</v>
      </c>
      <c r="S14" s="56">
        <v>300</v>
      </c>
      <c r="T14" s="59">
        <f t="shared" si="2"/>
        <v>3780</v>
      </c>
      <c r="U14" s="79">
        <f t="shared" si="3"/>
        <v>0</v>
      </c>
    </row>
    <row r="15" spans="1:21" ht="24.6" customHeight="1" x14ac:dyDescent="0.25">
      <c r="A15" s="36"/>
      <c r="B15" s="22" t="s">
        <v>34</v>
      </c>
      <c r="C15" s="26" t="s">
        <v>35</v>
      </c>
      <c r="D15" s="80" t="s">
        <v>13</v>
      </c>
      <c r="E15" s="93">
        <v>44833</v>
      </c>
      <c r="F15" s="215"/>
      <c r="G15" s="95" t="s">
        <v>36</v>
      </c>
      <c r="H15" s="87">
        <v>360</v>
      </c>
      <c r="I15" s="88">
        <v>360</v>
      </c>
      <c r="J15" s="89">
        <v>360</v>
      </c>
      <c r="K15" s="57">
        <v>300</v>
      </c>
      <c r="L15" s="55">
        <v>300</v>
      </c>
      <c r="M15" s="84">
        <v>300</v>
      </c>
      <c r="N15" s="57">
        <v>300</v>
      </c>
      <c r="O15" s="55">
        <v>300</v>
      </c>
      <c r="P15" s="56">
        <v>300</v>
      </c>
      <c r="Q15" s="54">
        <v>300</v>
      </c>
      <c r="R15" s="55">
        <v>300</v>
      </c>
      <c r="S15" s="56">
        <v>300</v>
      </c>
      <c r="T15" s="59">
        <f t="shared" si="2"/>
        <v>3780</v>
      </c>
      <c r="U15" s="79">
        <f t="shared" si="3"/>
        <v>0</v>
      </c>
    </row>
    <row r="16" spans="1:21" ht="24.95" customHeight="1" thickBot="1" x14ac:dyDescent="0.3">
      <c r="A16" s="36"/>
      <c r="B16" s="28" t="s">
        <v>37</v>
      </c>
      <c r="C16" s="35" t="s">
        <v>38</v>
      </c>
      <c r="D16" s="80" t="s">
        <v>13</v>
      </c>
      <c r="E16" s="93">
        <v>45387</v>
      </c>
      <c r="F16" s="215"/>
      <c r="G16" s="96" t="s">
        <v>39</v>
      </c>
      <c r="H16" s="65">
        <v>360</v>
      </c>
      <c r="I16" s="63">
        <v>360</v>
      </c>
      <c r="J16" s="97">
        <v>360</v>
      </c>
      <c r="K16" s="65" t="s">
        <v>19</v>
      </c>
      <c r="L16" s="63" t="s">
        <v>19</v>
      </c>
      <c r="M16" s="64" t="s">
        <v>19</v>
      </c>
      <c r="N16" s="65" t="s">
        <v>19</v>
      </c>
      <c r="O16" s="63">
        <v>300</v>
      </c>
      <c r="P16" s="64">
        <v>300</v>
      </c>
      <c r="Q16" s="62">
        <v>300</v>
      </c>
      <c r="R16" s="63">
        <v>300</v>
      </c>
      <c r="S16" s="64">
        <v>300</v>
      </c>
      <c r="T16" s="98">
        <f t="shared" si="2"/>
        <v>2580</v>
      </c>
      <c r="U16" s="99">
        <f t="shared" si="3"/>
        <v>-1200</v>
      </c>
    </row>
    <row r="17" spans="1:21" ht="24.95" customHeight="1" x14ac:dyDescent="0.25">
      <c r="A17" s="36"/>
      <c r="B17" s="24" t="s">
        <v>22</v>
      </c>
      <c r="C17" s="27" t="s">
        <v>23</v>
      </c>
      <c r="D17" s="80" t="s">
        <v>13</v>
      </c>
      <c r="E17" s="93">
        <v>44958</v>
      </c>
      <c r="F17" s="214">
        <v>2</v>
      </c>
      <c r="G17" s="100" t="s">
        <v>40</v>
      </c>
      <c r="H17" s="71">
        <v>360</v>
      </c>
      <c r="I17" s="72">
        <v>360</v>
      </c>
      <c r="J17" s="73">
        <v>360</v>
      </c>
      <c r="K17" s="74">
        <v>300</v>
      </c>
      <c r="L17" s="75">
        <v>300</v>
      </c>
      <c r="M17" s="76">
        <v>300</v>
      </c>
      <c r="N17" s="74">
        <v>300</v>
      </c>
      <c r="O17" s="75">
        <v>300</v>
      </c>
      <c r="P17" s="77">
        <v>300</v>
      </c>
      <c r="Q17" s="78">
        <v>300</v>
      </c>
      <c r="R17" s="75">
        <v>300</v>
      </c>
      <c r="S17" s="77">
        <v>300</v>
      </c>
      <c r="T17" s="101">
        <f t="shared" si="2"/>
        <v>3780</v>
      </c>
      <c r="U17" s="101">
        <f t="shared" si="3"/>
        <v>0</v>
      </c>
    </row>
    <row r="18" spans="1:21" ht="24.95" customHeight="1" x14ac:dyDescent="0.25">
      <c r="A18" s="36"/>
      <c r="B18" s="10" t="s">
        <v>41</v>
      </c>
      <c r="C18" s="26" t="s">
        <v>42</v>
      </c>
      <c r="D18" s="80" t="s">
        <v>13</v>
      </c>
      <c r="E18" s="93">
        <v>44813</v>
      </c>
      <c r="F18" s="215"/>
      <c r="G18" s="94" t="s">
        <v>43</v>
      </c>
      <c r="H18" s="81">
        <v>360</v>
      </c>
      <c r="I18" s="82">
        <v>360</v>
      </c>
      <c r="J18" s="83">
        <v>360</v>
      </c>
      <c r="K18" s="57">
        <v>300</v>
      </c>
      <c r="L18" s="55">
        <v>300</v>
      </c>
      <c r="M18" s="84">
        <v>300</v>
      </c>
      <c r="N18" s="57">
        <v>300</v>
      </c>
      <c r="O18" s="55">
        <v>300</v>
      </c>
      <c r="P18" s="56">
        <v>300</v>
      </c>
      <c r="Q18" s="54">
        <v>300</v>
      </c>
      <c r="R18" s="55">
        <v>300</v>
      </c>
      <c r="S18" s="56">
        <v>300</v>
      </c>
      <c r="T18" s="59">
        <f t="shared" si="2"/>
        <v>3780</v>
      </c>
      <c r="U18" s="79">
        <f t="shared" si="3"/>
        <v>0</v>
      </c>
    </row>
    <row r="19" spans="1:21" ht="24.95" customHeight="1" x14ac:dyDescent="0.25">
      <c r="A19" s="36"/>
      <c r="B19" s="10" t="s">
        <v>1</v>
      </c>
      <c r="C19" s="26" t="s">
        <v>44</v>
      </c>
      <c r="D19" s="80" t="s">
        <v>13</v>
      </c>
      <c r="E19" s="93">
        <v>44896</v>
      </c>
      <c r="F19" s="215"/>
      <c r="G19" s="94" t="s">
        <v>45</v>
      </c>
      <c r="H19" s="65">
        <v>360</v>
      </c>
      <c r="I19" s="63">
        <v>360</v>
      </c>
      <c r="J19" s="97">
        <v>360</v>
      </c>
      <c r="K19" s="65">
        <v>300</v>
      </c>
      <c r="L19" s="63">
        <v>300</v>
      </c>
      <c r="M19" s="64">
        <v>300</v>
      </c>
      <c r="N19" s="65">
        <v>300</v>
      </c>
      <c r="O19" s="91">
        <v>300</v>
      </c>
      <c r="P19" s="56">
        <v>300</v>
      </c>
      <c r="Q19" s="54">
        <v>300</v>
      </c>
      <c r="R19" s="55">
        <v>300</v>
      </c>
      <c r="S19" s="56">
        <v>300</v>
      </c>
      <c r="T19" s="59">
        <f t="shared" si="2"/>
        <v>3780</v>
      </c>
      <c r="U19" s="79">
        <f t="shared" si="3"/>
        <v>0</v>
      </c>
    </row>
    <row r="20" spans="1:21" ht="24.95" customHeight="1" x14ac:dyDescent="0.25">
      <c r="A20" s="36"/>
      <c r="B20" s="18" t="s">
        <v>46</v>
      </c>
      <c r="C20" s="26" t="s">
        <v>47</v>
      </c>
      <c r="D20" s="80" t="s">
        <v>13</v>
      </c>
      <c r="E20" s="93">
        <v>44958</v>
      </c>
      <c r="F20" s="215"/>
      <c r="G20" s="95" t="s">
        <v>48</v>
      </c>
      <c r="H20" s="81">
        <v>360</v>
      </c>
      <c r="I20" s="82">
        <v>360</v>
      </c>
      <c r="J20" s="83">
        <v>360</v>
      </c>
      <c r="K20" s="57">
        <v>300</v>
      </c>
      <c r="L20" s="55">
        <v>300</v>
      </c>
      <c r="M20" s="84">
        <v>300</v>
      </c>
      <c r="N20" s="65">
        <v>300</v>
      </c>
      <c r="O20" s="91">
        <v>300</v>
      </c>
      <c r="P20" s="56">
        <v>300</v>
      </c>
      <c r="Q20" s="54">
        <v>300</v>
      </c>
      <c r="R20" s="55">
        <v>300</v>
      </c>
      <c r="S20" s="56">
        <v>300</v>
      </c>
      <c r="T20" s="59">
        <f t="shared" si="2"/>
        <v>3780</v>
      </c>
      <c r="U20" s="79">
        <f t="shared" si="3"/>
        <v>0</v>
      </c>
    </row>
    <row r="21" spans="1:21" ht="24.95" customHeight="1" x14ac:dyDescent="0.25">
      <c r="A21" s="36"/>
      <c r="B21" s="22" t="s">
        <v>34</v>
      </c>
      <c r="C21" s="26" t="s">
        <v>35</v>
      </c>
      <c r="D21" s="80" t="s">
        <v>13</v>
      </c>
      <c r="E21" s="93">
        <v>44833</v>
      </c>
      <c r="F21" s="215"/>
      <c r="G21" s="53" t="s">
        <v>49</v>
      </c>
      <c r="H21" s="87">
        <v>360</v>
      </c>
      <c r="I21" s="88">
        <v>360</v>
      </c>
      <c r="J21" s="89">
        <v>360</v>
      </c>
      <c r="K21" s="57">
        <v>300</v>
      </c>
      <c r="L21" s="55">
        <v>300</v>
      </c>
      <c r="M21" s="84">
        <v>300</v>
      </c>
      <c r="N21" s="57">
        <v>300</v>
      </c>
      <c r="O21" s="55">
        <v>300</v>
      </c>
      <c r="P21" s="56">
        <v>300</v>
      </c>
      <c r="Q21" s="54">
        <v>300</v>
      </c>
      <c r="R21" s="55">
        <v>300</v>
      </c>
      <c r="S21" s="56">
        <v>300</v>
      </c>
      <c r="T21" s="59">
        <f t="shared" si="2"/>
        <v>3780</v>
      </c>
      <c r="U21" s="79">
        <f t="shared" si="3"/>
        <v>0</v>
      </c>
    </row>
    <row r="22" spans="1:21" ht="24" customHeight="1" thickBot="1" x14ac:dyDescent="0.3">
      <c r="B22" s="10" t="s">
        <v>50</v>
      </c>
      <c r="C22" s="26" t="s">
        <v>51</v>
      </c>
      <c r="D22" s="26" t="s">
        <v>0</v>
      </c>
      <c r="E22" s="102">
        <v>45139</v>
      </c>
      <c r="F22" s="216"/>
      <c r="G22" s="103" t="s">
        <v>52</v>
      </c>
      <c r="H22" s="104">
        <v>360</v>
      </c>
      <c r="I22" s="105">
        <v>360</v>
      </c>
      <c r="J22" s="106">
        <v>360</v>
      </c>
      <c r="K22" s="107">
        <v>300</v>
      </c>
      <c r="L22" s="108">
        <v>300</v>
      </c>
      <c r="M22" s="109">
        <v>120</v>
      </c>
      <c r="N22" s="107">
        <v>0</v>
      </c>
      <c r="O22" s="108">
        <v>0</v>
      </c>
      <c r="P22" s="109">
        <v>0</v>
      </c>
      <c r="Q22" s="110">
        <v>0</v>
      </c>
      <c r="R22" s="108">
        <v>0</v>
      </c>
      <c r="S22" s="109">
        <v>0</v>
      </c>
      <c r="T22" s="67">
        <f t="shared" si="2"/>
        <v>1800</v>
      </c>
      <c r="U22" s="111">
        <f t="shared" si="3"/>
        <v>-1980</v>
      </c>
    </row>
    <row r="23" spans="1:21" ht="24.95" customHeight="1" x14ac:dyDescent="0.25">
      <c r="B23" s="31" t="s">
        <v>53</v>
      </c>
      <c r="C23" s="30" t="s">
        <v>54</v>
      </c>
      <c r="D23" s="26" t="s">
        <v>0</v>
      </c>
      <c r="E23" s="93">
        <v>44881</v>
      </c>
      <c r="F23" s="215">
        <v>3</v>
      </c>
      <c r="G23" s="86" t="s">
        <v>55</v>
      </c>
      <c r="H23" s="87">
        <v>360</v>
      </c>
      <c r="I23" s="88">
        <v>360</v>
      </c>
      <c r="J23" s="89">
        <v>360</v>
      </c>
      <c r="K23" s="57">
        <v>300</v>
      </c>
      <c r="L23" s="55">
        <v>300</v>
      </c>
      <c r="M23" s="84">
        <v>300</v>
      </c>
      <c r="N23" s="65">
        <v>300</v>
      </c>
      <c r="O23" s="91">
        <v>300</v>
      </c>
      <c r="P23" s="56">
        <v>300</v>
      </c>
      <c r="Q23" s="54">
        <v>300</v>
      </c>
      <c r="R23" s="55">
        <v>300</v>
      </c>
      <c r="S23" s="56">
        <v>300</v>
      </c>
      <c r="T23" s="79">
        <f t="shared" si="2"/>
        <v>3780</v>
      </c>
      <c r="U23" s="101">
        <f t="shared" si="3"/>
        <v>0</v>
      </c>
    </row>
    <row r="24" spans="1:21" s="34" customFormat="1" ht="24.95" customHeight="1" x14ac:dyDescent="0.25">
      <c r="A24" s="37"/>
      <c r="B24" s="32" t="s">
        <v>56</v>
      </c>
      <c r="C24" s="33" t="s">
        <v>57</v>
      </c>
      <c r="D24" s="113" t="s">
        <v>13</v>
      </c>
      <c r="E24" s="114">
        <v>44958</v>
      </c>
      <c r="F24" s="215"/>
      <c r="G24" s="94" t="s">
        <v>58</v>
      </c>
      <c r="H24" s="81">
        <v>360</v>
      </c>
      <c r="I24" s="82">
        <v>360</v>
      </c>
      <c r="J24" s="83">
        <v>360</v>
      </c>
      <c r="K24" s="57">
        <v>300</v>
      </c>
      <c r="L24" s="55">
        <v>300</v>
      </c>
      <c r="M24" s="84">
        <v>300</v>
      </c>
      <c r="N24" s="65">
        <v>300</v>
      </c>
      <c r="O24" s="91">
        <v>300</v>
      </c>
      <c r="P24" s="56">
        <v>300</v>
      </c>
      <c r="Q24" s="54">
        <v>300</v>
      </c>
      <c r="R24" s="55">
        <v>300</v>
      </c>
      <c r="S24" s="56">
        <v>300</v>
      </c>
      <c r="T24" s="59">
        <f t="shared" si="2"/>
        <v>3780</v>
      </c>
      <c r="U24" s="79">
        <f t="shared" si="3"/>
        <v>0</v>
      </c>
    </row>
    <row r="25" spans="1:21" ht="24.95" customHeight="1" x14ac:dyDescent="0.25">
      <c r="A25" s="36"/>
      <c r="B25" s="10" t="s">
        <v>59</v>
      </c>
      <c r="C25" s="26" t="s">
        <v>60</v>
      </c>
      <c r="D25" s="80" t="s">
        <v>13</v>
      </c>
      <c r="E25" s="93">
        <v>44854</v>
      </c>
      <c r="F25" s="215"/>
      <c r="G25" s="95" t="s">
        <v>61</v>
      </c>
      <c r="H25" s="81">
        <v>360</v>
      </c>
      <c r="I25" s="82">
        <v>360</v>
      </c>
      <c r="J25" s="83">
        <v>360</v>
      </c>
      <c r="K25" s="57">
        <v>300</v>
      </c>
      <c r="L25" s="55">
        <v>300</v>
      </c>
      <c r="M25" s="84">
        <v>300</v>
      </c>
      <c r="N25" s="57">
        <v>300</v>
      </c>
      <c r="O25" s="55">
        <v>300</v>
      </c>
      <c r="P25" s="56">
        <v>300</v>
      </c>
      <c r="Q25" s="54">
        <v>300</v>
      </c>
      <c r="R25" s="55">
        <v>300</v>
      </c>
      <c r="S25" s="56">
        <v>300</v>
      </c>
      <c r="T25" s="59">
        <f t="shared" si="2"/>
        <v>3780</v>
      </c>
      <c r="U25" s="79">
        <f t="shared" si="3"/>
        <v>0</v>
      </c>
    </row>
    <row r="26" spans="1:21" ht="24.95" customHeight="1" x14ac:dyDescent="0.25">
      <c r="A26" s="36"/>
      <c r="B26" s="18" t="s">
        <v>46</v>
      </c>
      <c r="C26" s="26" t="s">
        <v>47</v>
      </c>
      <c r="D26" s="80" t="s">
        <v>13</v>
      </c>
      <c r="E26" s="93">
        <v>44958</v>
      </c>
      <c r="F26" s="215"/>
      <c r="G26" s="53" t="s">
        <v>62</v>
      </c>
      <c r="H26" s="81">
        <v>360</v>
      </c>
      <c r="I26" s="82">
        <v>360</v>
      </c>
      <c r="J26" s="83">
        <v>360</v>
      </c>
      <c r="K26" s="57">
        <v>300</v>
      </c>
      <c r="L26" s="55">
        <v>300</v>
      </c>
      <c r="M26" s="84">
        <v>300</v>
      </c>
      <c r="N26" s="57">
        <v>300</v>
      </c>
      <c r="O26" s="55">
        <v>300</v>
      </c>
      <c r="P26" s="56">
        <v>300</v>
      </c>
      <c r="Q26" s="54">
        <v>300</v>
      </c>
      <c r="R26" s="55">
        <v>300</v>
      </c>
      <c r="S26" s="56">
        <v>300</v>
      </c>
      <c r="T26" s="59">
        <f t="shared" si="2"/>
        <v>3780</v>
      </c>
      <c r="U26" s="79">
        <f t="shared" si="3"/>
        <v>0</v>
      </c>
    </row>
    <row r="27" spans="1:21" ht="24.95" customHeight="1" x14ac:dyDescent="0.25">
      <c r="A27" s="36"/>
      <c r="B27" s="21" t="s">
        <v>56</v>
      </c>
      <c r="C27" s="26" t="s">
        <v>57</v>
      </c>
      <c r="D27" s="80" t="s">
        <v>13</v>
      </c>
      <c r="E27" s="93">
        <v>44958</v>
      </c>
      <c r="F27" s="215"/>
      <c r="G27" s="94" t="s">
        <v>63</v>
      </c>
      <c r="H27" s="57">
        <v>360</v>
      </c>
      <c r="I27" s="55">
        <v>360</v>
      </c>
      <c r="J27" s="84">
        <v>360</v>
      </c>
      <c r="K27" s="57">
        <v>300</v>
      </c>
      <c r="L27" s="55">
        <v>300</v>
      </c>
      <c r="M27" s="56">
        <v>300</v>
      </c>
      <c r="N27" s="57">
        <v>300</v>
      </c>
      <c r="O27" s="55">
        <v>300</v>
      </c>
      <c r="P27" s="56">
        <v>300</v>
      </c>
      <c r="Q27" s="54">
        <v>300</v>
      </c>
      <c r="R27" s="55">
        <v>300</v>
      </c>
      <c r="S27" s="56">
        <v>300</v>
      </c>
      <c r="T27" s="59">
        <f t="shared" si="2"/>
        <v>3780</v>
      </c>
      <c r="U27" s="79">
        <f t="shared" si="3"/>
        <v>0</v>
      </c>
    </row>
    <row r="28" spans="1:21" ht="30" customHeight="1" thickBot="1" x14ac:dyDescent="0.3">
      <c r="A28" s="36"/>
      <c r="B28" s="20" t="s">
        <v>64</v>
      </c>
      <c r="C28" s="26" t="s">
        <v>65</v>
      </c>
      <c r="D28" s="80" t="s">
        <v>13</v>
      </c>
      <c r="E28" s="93">
        <v>45108</v>
      </c>
      <c r="F28" s="215"/>
      <c r="G28" s="95" t="s">
        <v>66</v>
      </c>
      <c r="H28" s="57">
        <v>360</v>
      </c>
      <c r="I28" s="55">
        <v>360</v>
      </c>
      <c r="J28" s="84">
        <v>360</v>
      </c>
      <c r="K28" s="57">
        <v>300</v>
      </c>
      <c r="L28" s="55">
        <v>300</v>
      </c>
      <c r="M28" s="56">
        <v>300</v>
      </c>
      <c r="N28" s="57">
        <v>300</v>
      </c>
      <c r="O28" s="55">
        <v>300</v>
      </c>
      <c r="P28" s="56">
        <v>300</v>
      </c>
      <c r="Q28" s="54">
        <v>300</v>
      </c>
      <c r="R28" s="55">
        <v>300</v>
      </c>
      <c r="S28" s="56">
        <v>300</v>
      </c>
      <c r="T28" s="98">
        <f t="shared" si="2"/>
        <v>3780</v>
      </c>
      <c r="U28" s="111">
        <f t="shared" si="3"/>
        <v>0</v>
      </c>
    </row>
    <row r="29" spans="1:21" ht="24.95" customHeight="1" x14ac:dyDescent="0.25">
      <c r="A29" s="36"/>
      <c r="B29" s="18" t="s">
        <v>46</v>
      </c>
      <c r="C29" s="26" t="s">
        <v>47</v>
      </c>
      <c r="D29" s="80" t="s">
        <v>13</v>
      </c>
      <c r="E29" s="93">
        <v>44958</v>
      </c>
      <c r="F29" s="214">
        <v>4</v>
      </c>
      <c r="G29" s="100" t="s">
        <v>67</v>
      </c>
      <c r="H29" s="71">
        <v>360</v>
      </c>
      <c r="I29" s="72">
        <v>360</v>
      </c>
      <c r="J29" s="73">
        <v>360</v>
      </c>
      <c r="K29" s="74">
        <v>300</v>
      </c>
      <c r="L29" s="75">
        <v>300</v>
      </c>
      <c r="M29" s="76">
        <v>300</v>
      </c>
      <c r="N29" s="74">
        <v>300</v>
      </c>
      <c r="O29" s="75">
        <v>300</v>
      </c>
      <c r="P29" s="77">
        <v>300</v>
      </c>
      <c r="Q29" s="78">
        <v>300</v>
      </c>
      <c r="R29" s="75">
        <v>300</v>
      </c>
      <c r="S29" s="77">
        <v>300</v>
      </c>
      <c r="T29" s="101">
        <f t="shared" si="2"/>
        <v>3780</v>
      </c>
      <c r="U29" s="101">
        <f t="shared" si="3"/>
        <v>0</v>
      </c>
    </row>
    <row r="30" spans="1:21" ht="24.95" customHeight="1" x14ac:dyDescent="0.25">
      <c r="A30" s="36"/>
      <c r="B30" s="18" t="s">
        <v>46</v>
      </c>
      <c r="C30" s="26" t="s">
        <v>47</v>
      </c>
      <c r="D30" s="80" t="s">
        <v>13</v>
      </c>
      <c r="E30" s="93">
        <v>44886</v>
      </c>
      <c r="F30" s="215"/>
      <c r="G30" s="95" t="s">
        <v>68</v>
      </c>
      <c r="H30" s="81">
        <v>360</v>
      </c>
      <c r="I30" s="82">
        <v>360</v>
      </c>
      <c r="J30" s="83">
        <v>360</v>
      </c>
      <c r="K30" s="57">
        <v>300</v>
      </c>
      <c r="L30" s="55">
        <v>300</v>
      </c>
      <c r="M30" s="84">
        <v>300</v>
      </c>
      <c r="N30" s="57">
        <v>300</v>
      </c>
      <c r="O30" s="55">
        <v>300</v>
      </c>
      <c r="P30" s="56">
        <v>300</v>
      </c>
      <c r="Q30" s="54">
        <v>300</v>
      </c>
      <c r="R30" s="55">
        <v>300</v>
      </c>
      <c r="S30" s="56">
        <v>300</v>
      </c>
      <c r="T30" s="59">
        <f t="shared" si="2"/>
        <v>3780</v>
      </c>
      <c r="U30" s="79">
        <f t="shared" si="3"/>
        <v>0</v>
      </c>
    </row>
    <row r="31" spans="1:21" ht="24.95" customHeight="1" x14ac:dyDescent="0.25">
      <c r="A31" s="36"/>
      <c r="B31" s="19" t="s">
        <v>64</v>
      </c>
      <c r="C31" s="26" t="s">
        <v>65</v>
      </c>
      <c r="D31" s="80" t="s">
        <v>13</v>
      </c>
      <c r="E31" s="93">
        <v>44851</v>
      </c>
      <c r="F31" s="215"/>
      <c r="G31" s="53" t="s">
        <v>69</v>
      </c>
      <c r="H31" s="57">
        <v>360</v>
      </c>
      <c r="I31" s="55">
        <v>360</v>
      </c>
      <c r="J31" s="84">
        <v>360</v>
      </c>
      <c r="K31" s="57">
        <v>300</v>
      </c>
      <c r="L31" s="55">
        <v>300</v>
      </c>
      <c r="M31" s="56">
        <v>300</v>
      </c>
      <c r="N31" s="57">
        <v>300</v>
      </c>
      <c r="O31" s="55">
        <v>300</v>
      </c>
      <c r="P31" s="56">
        <v>300</v>
      </c>
      <c r="Q31" s="54">
        <v>300</v>
      </c>
      <c r="R31" s="55">
        <v>300</v>
      </c>
      <c r="S31" s="56">
        <v>300</v>
      </c>
      <c r="T31" s="59">
        <f t="shared" si="2"/>
        <v>3780</v>
      </c>
      <c r="U31" s="79">
        <f t="shared" si="3"/>
        <v>0</v>
      </c>
    </row>
    <row r="32" spans="1:21" ht="24.95" customHeight="1" x14ac:dyDescent="0.25">
      <c r="A32" s="36"/>
      <c r="B32" s="17" t="s">
        <v>25</v>
      </c>
      <c r="C32" s="26" t="s">
        <v>26</v>
      </c>
      <c r="D32" s="80" t="s">
        <v>13</v>
      </c>
      <c r="E32" s="93">
        <v>44853</v>
      </c>
      <c r="F32" s="215"/>
      <c r="G32" s="94" t="s">
        <v>70</v>
      </c>
      <c r="H32" s="87">
        <v>360</v>
      </c>
      <c r="I32" s="88">
        <v>360</v>
      </c>
      <c r="J32" s="89">
        <v>360</v>
      </c>
      <c r="K32" s="57">
        <v>300</v>
      </c>
      <c r="L32" s="55">
        <v>300</v>
      </c>
      <c r="M32" s="84">
        <v>300</v>
      </c>
      <c r="N32" s="57">
        <v>300</v>
      </c>
      <c r="O32" s="55">
        <v>300</v>
      </c>
      <c r="P32" s="56">
        <v>300</v>
      </c>
      <c r="Q32" s="54">
        <v>300</v>
      </c>
      <c r="R32" s="55">
        <v>300</v>
      </c>
      <c r="S32" s="56">
        <v>300</v>
      </c>
      <c r="T32" s="59">
        <f t="shared" si="2"/>
        <v>3780</v>
      </c>
      <c r="U32" s="79">
        <f t="shared" si="3"/>
        <v>0</v>
      </c>
    </row>
    <row r="33" spans="1:21" ht="24.95" customHeight="1" x14ac:dyDescent="0.25">
      <c r="A33" s="36"/>
      <c r="B33" s="10" t="s">
        <v>71</v>
      </c>
      <c r="C33" s="27" t="s">
        <v>72</v>
      </c>
      <c r="D33" s="80" t="s">
        <v>13</v>
      </c>
      <c r="E33" s="85">
        <v>44881</v>
      </c>
      <c r="F33" s="215"/>
      <c r="G33" s="86" t="s">
        <v>73</v>
      </c>
      <c r="H33" s="87">
        <v>360</v>
      </c>
      <c r="I33" s="88">
        <v>360</v>
      </c>
      <c r="J33" s="89">
        <v>360</v>
      </c>
      <c r="K33" s="57">
        <v>300</v>
      </c>
      <c r="L33" s="55">
        <v>300</v>
      </c>
      <c r="M33" s="84">
        <v>300</v>
      </c>
      <c r="N33" s="57">
        <v>300</v>
      </c>
      <c r="O33" s="55">
        <v>300</v>
      </c>
      <c r="P33" s="56">
        <v>300</v>
      </c>
      <c r="Q33" s="54">
        <v>300</v>
      </c>
      <c r="R33" s="55">
        <v>300</v>
      </c>
      <c r="S33" s="56">
        <v>300</v>
      </c>
      <c r="T33" s="79">
        <f t="shared" si="2"/>
        <v>3780</v>
      </c>
      <c r="U33" s="79">
        <f t="shared" si="3"/>
        <v>0</v>
      </c>
    </row>
    <row r="34" spans="1:21" ht="24.95" customHeight="1" thickBot="1" x14ac:dyDescent="0.3">
      <c r="A34" s="36"/>
      <c r="B34" s="28" t="s">
        <v>101</v>
      </c>
      <c r="C34" s="26" t="s">
        <v>38</v>
      </c>
      <c r="D34" s="80" t="s">
        <v>13</v>
      </c>
      <c r="E34" s="93">
        <v>45474</v>
      </c>
      <c r="F34" s="216"/>
      <c r="G34" s="103" t="s">
        <v>74</v>
      </c>
      <c r="H34" s="107">
        <v>360</v>
      </c>
      <c r="I34" s="108">
        <v>360</v>
      </c>
      <c r="J34" s="115">
        <v>360</v>
      </c>
      <c r="K34" s="107">
        <v>300</v>
      </c>
      <c r="L34" s="108">
        <v>300</v>
      </c>
      <c r="M34" s="109">
        <v>300</v>
      </c>
      <c r="N34" s="65">
        <v>300</v>
      </c>
      <c r="O34" s="63">
        <v>300</v>
      </c>
      <c r="P34" s="64">
        <v>300</v>
      </c>
      <c r="Q34" s="62">
        <v>300</v>
      </c>
      <c r="R34" s="63">
        <v>300</v>
      </c>
      <c r="S34" s="64">
        <v>300</v>
      </c>
      <c r="T34" s="67">
        <f t="shared" si="2"/>
        <v>3780</v>
      </c>
      <c r="U34" s="111">
        <f t="shared" si="3"/>
        <v>0</v>
      </c>
    </row>
    <row r="35" spans="1:21" ht="24.95" customHeight="1" x14ac:dyDescent="0.25">
      <c r="A35" s="36"/>
      <c r="B35" s="10" t="s">
        <v>75</v>
      </c>
      <c r="C35" s="26" t="s">
        <v>76</v>
      </c>
      <c r="D35" s="80" t="s">
        <v>13</v>
      </c>
      <c r="E35" s="93">
        <v>44816</v>
      </c>
      <c r="F35" s="214">
        <v>5</v>
      </c>
      <c r="G35" s="86" t="s">
        <v>77</v>
      </c>
      <c r="H35" s="112">
        <v>360</v>
      </c>
      <c r="I35" s="91">
        <v>360</v>
      </c>
      <c r="J35" s="116">
        <v>360</v>
      </c>
      <c r="K35" s="112">
        <v>300</v>
      </c>
      <c r="L35" s="91">
        <v>300</v>
      </c>
      <c r="M35" s="116">
        <v>300</v>
      </c>
      <c r="N35" s="74">
        <v>300</v>
      </c>
      <c r="O35" s="75">
        <v>300</v>
      </c>
      <c r="P35" s="77">
        <v>300</v>
      </c>
      <c r="Q35" s="78">
        <v>300</v>
      </c>
      <c r="R35" s="75">
        <v>300</v>
      </c>
      <c r="S35" s="77">
        <v>300</v>
      </c>
      <c r="T35" s="79">
        <f t="shared" si="2"/>
        <v>3780</v>
      </c>
      <c r="U35" s="79">
        <f t="shared" si="3"/>
        <v>0</v>
      </c>
    </row>
    <row r="36" spans="1:21" ht="24.95" customHeight="1" x14ac:dyDescent="0.25">
      <c r="A36" s="36"/>
      <c r="B36" s="10" t="s">
        <v>78</v>
      </c>
      <c r="C36" s="26" t="s">
        <v>79</v>
      </c>
      <c r="D36" s="80" t="s">
        <v>13</v>
      </c>
      <c r="E36" s="93">
        <v>44832</v>
      </c>
      <c r="F36" s="215"/>
      <c r="G36" s="94" t="s">
        <v>80</v>
      </c>
      <c r="H36" s="57">
        <v>360</v>
      </c>
      <c r="I36" s="55">
        <v>360</v>
      </c>
      <c r="J36" s="84">
        <v>360</v>
      </c>
      <c r="K36" s="57">
        <v>300</v>
      </c>
      <c r="L36" s="55">
        <v>300</v>
      </c>
      <c r="M36" s="56">
        <v>300</v>
      </c>
      <c r="N36" s="57">
        <v>300</v>
      </c>
      <c r="O36" s="55">
        <v>300</v>
      </c>
      <c r="P36" s="56">
        <v>300</v>
      </c>
      <c r="Q36" s="54">
        <v>300</v>
      </c>
      <c r="R36" s="55">
        <v>300</v>
      </c>
      <c r="S36" s="56">
        <v>300</v>
      </c>
      <c r="T36" s="59">
        <f t="shared" si="2"/>
        <v>3780</v>
      </c>
      <c r="U36" s="79">
        <f t="shared" si="3"/>
        <v>0</v>
      </c>
    </row>
    <row r="37" spans="1:21" ht="24.95" customHeight="1" x14ac:dyDescent="0.25">
      <c r="A37" s="36"/>
      <c r="B37" s="10" t="s">
        <v>81</v>
      </c>
      <c r="C37" s="26" t="s">
        <v>82</v>
      </c>
      <c r="D37" s="80" t="s">
        <v>13</v>
      </c>
      <c r="E37" s="93">
        <v>44846</v>
      </c>
      <c r="F37" s="215"/>
      <c r="G37" s="94" t="s">
        <v>83</v>
      </c>
      <c r="H37" s="57">
        <v>360</v>
      </c>
      <c r="I37" s="55">
        <v>360</v>
      </c>
      <c r="J37" s="97">
        <v>360</v>
      </c>
      <c r="K37" s="65">
        <v>300</v>
      </c>
      <c r="L37" s="63">
        <v>300</v>
      </c>
      <c r="M37" s="56">
        <v>300</v>
      </c>
      <c r="N37" s="57">
        <v>300</v>
      </c>
      <c r="O37" s="55">
        <v>300</v>
      </c>
      <c r="P37" s="56">
        <v>300</v>
      </c>
      <c r="Q37" s="54">
        <v>300</v>
      </c>
      <c r="R37" s="55">
        <v>300</v>
      </c>
      <c r="S37" s="56">
        <v>300</v>
      </c>
      <c r="T37" s="59">
        <f t="shared" si="2"/>
        <v>3780</v>
      </c>
      <c r="U37" s="79">
        <f t="shared" si="3"/>
        <v>0</v>
      </c>
    </row>
    <row r="38" spans="1:21" ht="24.95" customHeight="1" x14ac:dyDescent="0.25">
      <c r="A38" s="36"/>
      <c r="B38" s="10" t="s">
        <v>2</v>
      </c>
      <c r="C38" s="26" t="s">
        <v>84</v>
      </c>
      <c r="D38" s="80" t="s">
        <v>13</v>
      </c>
      <c r="E38" s="93">
        <v>44881</v>
      </c>
      <c r="F38" s="215"/>
      <c r="G38" s="94" t="s">
        <v>85</v>
      </c>
      <c r="H38" s="57">
        <v>360</v>
      </c>
      <c r="I38" s="55">
        <v>360</v>
      </c>
      <c r="J38" s="84">
        <v>360</v>
      </c>
      <c r="K38" s="57">
        <v>300</v>
      </c>
      <c r="L38" s="55">
        <v>300</v>
      </c>
      <c r="M38" s="56">
        <v>300</v>
      </c>
      <c r="N38" s="57">
        <v>300</v>
      </c>
      <c r="O38" s="55">
        <v>300</v>
      </c>
      <c r="P38" s="56">
        <v>300</v>
      </c>
      <c r="Q38" s="54">
        <v>300</v>
      </c>
      <c r="R38" s="55">
        <v>300</v>
      </c>
      <c r="S38" s="56">
        <v>300</v>
      </c>
      <c r="T38" s="59">
        <f t="shared" si="2"/>
        <v>3780</v>
      </c>
      <c r="U38" s="79">
        <f t="shared" si="3"/>
        <v>0</v>
      </c>
    </row>
    <row r="39" spans="1:21" ht="24.95" customHeight="1" thickBot="1" x14ac:dyDescent="0.3">
      <c r="A39" s="36"/>
      <c r="B39" s="10" t="s">
        <v>86</v>
      </c>
      <c r="C39" s="26" t="s">
        <v>87</v>
      </c>
      <c r="D39" s="80" t="s">
        <v>13</v>
      </c>
      <c r="E39" s="93">
        <v>45139</v>
      </c>
      <c r="F39" s="216"/>
      <c r="G39" s="94" t="s">
        <v>88</v>
      </c>
      <c r="H39" s="87">
        <v>360</v>
      </c>
      <c r="I39" s="88">
        <v>360</v>
      </c>
      <c r="J39" s="89">
        <v>360</v>
      </c>
      <c r="K39" s="57">
        <v>300</v>
      </c>
      <c r="L39" s="55">
        <v>300</v>
      </c>
      <c r="M39" s="84">
        <v>300</v>
      </c>
      <c r="N39" s="107">
        <v>300</v>
      </c>
      <c r="O39" s="108">
        <v>300</v>
      </c>
      <c r="P39" s="109">
        <v>300</v>
      </c>
      <c r="Q39" s="110">
        <v>300</v>
      </c>
      <c r="R39" s="108">
        <v>300</v>
      </c>
      <c r="S39" s="109">
        <v>300</v>
      </c>
      <c r="T39" s="59">
        <f t="shared" si="2"/>
        <v>3780</v>
      </c>
      <c r="U39" s="79">
        <f t="shared" si="3"/>
        <v>0</v>
      </c>
    </row>
    <row r="40" spans="1:21" ht="42" customHeight="1" thickBot="1" x14ac:dyDescent="0.3">
      <c r="B40" s="6"/>
      <c r="C40" s="6"/>
      <c r="D40" s="117"/>
      <c r="E40" s="5"/>
      <c r="F40" s="217" t="s">
        <v>89</v>
      </c>
      <c r="G40" s="218"/>
      <c r="H40" s="118">
        <f t="shared" ref="H40:U40" si="4">SUM(H7:H39)</f>
        <v>10890</v>
      </c>
      <c r="I40" s="118">
        <f t="shared" si="4"/>
        <v>10890</v>
      </c>
      <c r="J40" s="118">
        <f t="shared" si="4"/>
        <v>10890</v>
      </c>
      <c r="K40" s="118">
        <f t="shared" si="4"/>
        <v>8850</v>
      </c>
      <c r="L40" s="118">
        <f t="shared" si="4"/>
        <v>8850</v>
      </c>
      <c r="M40" s="118">
        <f t="shared" si="4"/>
        <v>8670</v>
      </c>
      <c r="N40" s="118">
        <f t="shared" si="4"/>
        <v>8550</v>
      </c>
      <c r="O40" s="118">
        <f t="shared" si="4"/>
        <v>8850</v>
      </c>
      <c r="P40" s="118">
        <f t="shared" si="4"/>
        <v>8850</v>
      </c>
      <c r="Q40" s="118">
        <f t="shared" si="4"/>
        <v>9000</v>
      </c>
      <c r="R40" s="118">
        <f t="shared" si="4"/>
        <v>9000</v>
      </c>
      <c r="S40" s="118">
        <f t="shared" si="4"/>
        <v>9000</v>
      </c>
      <c r="T40" s="119">
        <f t="shared" si="4"/>
        <v>112290</v>
      </c>
      <c r="U40" s="119">
        <f t="shared" si="4"/>
        <v>-4530</v>
      </c>
    </row>
    <row r="41" spans="1:21" x14ac:dyDescent="0.25">
      <c r="B41" s="1"/>
      <c r="C41" s="1"/>
      <c r="D41" s="1"/>
      <c r="E41" s="1"/>
      <c r="F41" s="1"/>
      <c r="G41" s="1"/>
      <c r="H41" s="7"/>
      <c r="I41" s="7"/>
      <c r="J41" s="7"/>
      <c r="K41" s="204"/>
      <c r="L41" s="204"/>
      <c r="M41" s="1"/>
      <c r="N41" s="1"/>
      <c r="O41" s="1"/>
      <c r="P41" s="1"/>
      <c r="Q41" s="1"/>
      <c r="R41" s="1"/>
      <c r="S41" s="1"/>
      <c r="T41" s="1"/>
      <c r="U41" s="1"/>
    </row>
    <row r="42" spans="1:21" x14ac:dyDescent="0.25">
      <c r="T42" s="1"/>
      <c r="U42" s="1"/>
    </row>
  </sheetData>
  <autoFilter ref="B6:U40" xr:uid="{00000000-0009-0000-0000-000003000000}"/>
  <mergeCells count="9">
    <mergeCell ref="F5:S5"/>
    <mergeCell ref="F7:F10"/>
    <mergeCell ref="K41:L41"/>
    <mergeCell ref="F11:F16"/>
    <mergeCell ref="F17:F22"/>
    <mergeCell ref="F23:F28"/>
    <mergeCell ref="F29:F34"/>
    <mergeCell ref="F35:F39"/>
    <mergeCell ref="F40:G40"/>
  </mergeCells>
  <phoneticPr fontId="12" type="noConversion"/>
  <conditionalFormatting sqref="D7:D39">
    <cfRule type="containsText" dxfId="9" priority="5" operator="containsText" text="ok">
      <formula>NOT(ISERROR(SEARCH("ok",D7)))</formula>
    </cfRule>
    <cfRule type="containsText" dxfId="8" priority="6" operator="containsText" text="ok">
      <formula>NOT(ISERROR(SEARCH("ok",D7)))</formula>
    </cfRule>
    <cfRule type="containsText" dxfId="7" priority="7" operator="containsText" text="ok">
      <formula>NOT(ISERROR(SEARCH("ok",D7)))</formula>
    </cfRule>
  </conditionalFormatting>
  <conditionalFormatting sqref="H7:S21">
    <cfRule type="cellIs" dxfId="6" priority="10" operator="greaterThan">
      <formula>0</formula>
    </cfRule>
  </conditionalFormatting>
  <conditionalFormatting sqref="H7:S39">
    <cfRule type="containsText" dxfId="5" priority="3" operator="containsText" text="X">
      <formula>NOT(ISERROR(SEARCH("X",H7)))</formula>
    </cfRule>
  </conditionalFormatting>
  <conditionalFormatting sqref="H23:S39 H22:L22 N22:S22">
    <cfRule type="cellIs" dxfId="4" priority="23" operator="greaterThan">
      <formula>0</formula>
    </cfRule>
  </conditionalFormatting>
  <conditionalFormatting sqref="M22">
    <cfRule type="cellIs" dxfId="3" priority="11" operator="lessThan">
      <formula>300</formula>
    </cfRule>
  </conditionalFormatting>
  <conditionalFormatting sqref="N38">
    <cfRule type="cellIs" dxfId="2" priority="14" operator="lessThan">
      <formula>300</formula>
    </cfRule>
  </conditionalFormatting>
  <conditionalFormatting sqref="S35">
    <cfRule type="cellIs" dxfId="1" priority="1" operator="greaterThan">
      <formula>300</formula>
    </cfRule>
    <cfRule type="cellIs" dxfId="0" priority="2" operator="lessThan">
      <formula>300</formula>
    </cfRule>
  </conditionalFormatting>
  <pageMargins left="0.39370078740157483" right="0" top="0.19685039370078741" bottom="0" header="0" footer="0.31496062992125984"/>
  <pageSetup paperSize="9" scale="31" orientation="landscape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1E210522-714C-412C-ABCF-4F815517AAAE}">
            <xm:f>NOT(ISERROR(SEARCH("-",D7)))</xm:f>
            <xm:f>"-"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D7:D39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Appel DE Fond</vt:lpstr>
      <vt:lpstr>Cotisation 2026</vt:lpstr>
      <vt:lpstr>Cotisation 2025</vt:lpstr>
      <vt:lpstr>Cotisation 2024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2026-10-19T21:05:05Z</dcterms:modified>
  <cp:category/>
  <cp:contentStatus/>
</cp:coreProperties>
</file>
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595" firstSheet="0" activeTab="0" autoFilterDateGrouping="1"/>
  </bookViews>
  <sheets>
    <sheet name="Appel DE Fond" sheetId="1" state="visible" r:id="rId1"/>
    <sheet name="Cotisation 2026" sheetId="2" state="visible" r:id="rId2"/>
    <sheet name="Cotisation 2025" sheetId="3" state="visible" r:id="rId3"/>
    <sheet name="Cotisation 2024" sheetId="4" state="visible" r:id="rId4"/>
  </sheets>
  <definedNames>
    <definedName name="_xlnm._FilterDatabase" localSheetId="1" hidden="1">'Cotisation 2026'!$B$6:$U$40</definedName>
    <definedName name="_xlnm._FilterDatabase" localSheetId="2" hidden="1">'Cotisation 2025'!$B$6:$V$40</definedName>
    <definedName name="_xlnm._FilterDatabase" localSheetId="3" hidden="1">'Cotisation 2024'!$B$6:$U$40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\ _€_-;\-* #,##0\ _€_-;_-* &quot;-&quot;??\ _€_-;_-@_-"/>
    <numFmt numFmtId="165" formatCode="[$-40C]mmm\-yy;@"/>
    <numFmt numFmtId="166" formatCode="#,##0\ &quot;DH&quot;;[Red]\-#,##0\ &quot;DH&quot;"/>
    <numFmt numFmtId="167" formatCode="_-* #,##0.00\ _€_-;\-* #,##0.00\ _€_-;_-* &quot;-&quot;??\ _€_-;_-@_-"/>
  </numFmts>
  <fonts count="3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3"/>
      <sz val="8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family val="2"/>
      <sz val="11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Verdana"/>
      <family val="2"/>
      <color rgb="FF4170A9"/>
      <sz val="10"/>
      <u val="single"/>
    </font>
    <font>
      <name val="Verdana"/>
      <family val="2"/>
      <b val="1"/>
      <color rgb="FFFFFFFF"/>
      <sz val="10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1"/>
      <u val="single"/>
    </font>
    <font>
      <name val="Calibri"/>
      <family val="2"/>
      <color theme="1"/>
      <sz val="11"/>
      <u val="single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sz val="11"/>
    </font>
    <font>
      <name val="Arial"/>
      <family val="2"/>
      <b val="1"/>
      <sz val="11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2"/>
      <scheme val="minor"/>
    </font>
    <font>
      <name val="Times New Roman"/>
      <family val="1"/>
      <b val="1"/>
      <color theme="0"/>
      <sz val="11"/>
    </font>
    <font>
      <name val="Arial"/>
      <family val="2"/>
      <b val="1"/>
      <color theme="1" tint="0.0499893185216834"/>
      <sz val="11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b val="1"/>
      <color rgb="00FFFFFF"/>
      <sz val="10"/>
    </font>
    <font>
      <name val="Calibri"/>
      <b val="1"/>
      <color rgb="000284C7"/>
      <sz val="10"/>
      <u val="single"/>
    </font>
    <font>
      <name val="Calibri"/>
      <b val="1"/>
      <color rgb="0016A34A"/>
      <sz val="10"/>
      <u val="single"/>
    </font>
  </fonts>
  <fills count="2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4173A9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166534"/>
        <bgColor rgb="0016653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8" fillId="0" borderId="0"/>
    <xf numFmtId="167" fontId="8" fillId="0" borderId="0"/>
    <xf numFmtId="0" fontId="7" fillId="0" borderId="0"/>
    <xf numFmtId="0" fontId="8" fillId="0" borderId="0"/>
    <xf numFmtId="0" fontId="16" fillId="0" borderId="0"/>
    <xf numFmtId="0" fontId="17" fillId="14" borderId="55" applyAlignment="1">
      <alignment horizontal="center"/>
    </xf>
    <xf numFmtId="0" fontId="11" fillId="0" borderId="0" applyAlignment="1">
      <alignment vertical="center"/>
    </xf>
  </cellStyleXfs>
  <cellXfs count="26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1" fillId="2" borderId="16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0" fillId="0" borderId="4" pivotButton="0" quotePrefix="0" xfId="0"/>
    <xf numFmtId="0" fontId="3" fillId="0" borderId="3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49" fontId="13" fillId="0" borderId="1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4" fontId="14" fillId="2" borderId="3" applyAlignment="1" pivotButton="0" quotePrefix="0" xfId="1">
      <alignment horizontal="right" vertical="center"/>
    </xf>
    <xf numFmtId="164" fontId="0" fillId="0" borderId="0" pivotButton="0" quotePrefix="0" xfId="0"/>
    <xf numFmtId="0" fontId="9" fillId="8" borderId="16" applyAlignment="1" pivotButton="0" quotePrefix="0" xfId="0">
      <alignment horizontal="center" vertical="center" wrapText="1"/>
    </xf>
    <xf numFmtId="0" fontId="9" fillId="8" borderId="10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9" fillId="11" borderId="10" applyAlignment="1" pivotButton="0" quotePrefix="0" xfId="0">
      <alignment horizontal="center" vertical="center" wrapText="1"/>
    </xf>
    <xf numFmtId="0" fontId="13" fillId="12" borderId="10" applyAlignment="1" pivotButton="0" quotePrefix="0" xfId="0">
      <alignment horizontal="center" vertical="center" wrapText="1"/>
    </xf>
    <xf numFmtId="0" fontId="9" fillId="12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center" vertical="center" wrapText="1"/>
    </xf>
    <xf numFmtId="0" fontId="9" fillId="15" borderId="28" applyAlignment="1" pivotButton="0" quotePrefix="0" xfId="0">
      <alignment horizontal="center" vertical="center" wrapText="1"/>
    </xf>
    <xf numFmtId="0" fontId="9" fillId="15" borderId="10" applyAlignment="1" pivotButton="0" quotePrefix="0" xfId="0">
      <alignment horizontal="center" vertical="center" wrapText="1"/>
    </xf>
    <xf numFmtId="49" fontId="10" fillId="0" borderId="18" applyAlignment="1" pivotButton="0" quotePrefix="0" xfId="0">
      <alignment horizontal="center" vertical="center" wrapText="1"/>
    </xf>
    <xf numFmtId="49" fontId="10" fillId="0" borderId="9" applyAlignment="1" pivotButton="0" quotePrefix="0" xfId="0">
      <alignment horizontal="center" vertical="center" wrapText="1"/>
    </xf>
    <xf numFmtId="49" fontId="10" fillId="0" borderId="7" applyAlignment="1" pivotButton="0" quotePrefix="0" xfId="0">
      <alignment horizontal="center" vertical="center" wrapText="1"/>
    </xf>
    <xf numFmtId="0" fontId="9" fillId="16" borderId="10" applyAlignment="1" pivotButton="0" quotePrefix="0" xfId="0">
      <alignment horizontal="center" vertical="center" wrapText="1"/>
    </xf>
    <xf numFmtId="14" fontId="14" fillId="2" borderId="5" applyAlignment="1" pivotButton="0" quotePrefix="0" xfId="1">
      <alignment horizontal="center" vertical="center"/>
    </xf>
    <xf numFmtId="49" fontId="9" fillId="0" borderId="24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9" fillId="13" borderId="10" applyAlignment="1" pivotButton="0" quotePrefix="0" xfId="0">
      <alignment horizontal="center" vertical="center" wrapText="1"/>
    </xf>
    <xf numFmtId="49" fontId="20" fillId="0" borderId="9" applyAlignment="1" pivotButton="0" quotePrefix="0" xfId="0">
      <alignment horizontal="center" vertical="center" wrapText="1"/>
    </xf>
    <xf numFmtId="0" fontId="21" fillId="0" borderId="0" pivotButton="0" quotePrefix="0" xfId="0"/>
    <xf numFmtId="49" fontId="10" fillId="0" borderId="10" applyAlignment="1" pivotButton="0" quotePrefix="0" xfId="0">
      <alignment horizontal="center" vertical="center" wrapText="1"/>
    </xf>
    <xf numFmtId="0" fontId="0" fillId="17" borderId="0" pivotButton="0" quotePrefix="0" xfId="0"/>
    <xf numFmtId="0" fontId="21" fillId="17" borderId="0" pivotButton="0" quotePrefix="0" xfId="0"/>
    <xf numFmtId="0" fontId="9" fillId="0" borderId="9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center" vertical="center"/>
    </xf>
    <xf numFmtId="0" fontId="22" fillId="2" borderId="35" applyAlignment="1" pivotButton="0" quotePrefix="0" xfId="0">
      <alignment horizontal="center" vertical="center"/>
    </xf>
    <xf numFmtId="165" fontId="23" fillId="2" borderId="53" applyAlignment="1" pivotButton="0" quotePrefix="0" xfId="1">
      <alignment horizontal="center" vertical="center"/>
    </xf>
    <xf numFmtId="165" fontId="23" fillId="2" borderId="54" applyAlignment="1" pivotButton="0" quotePrefix="0" xfId="1">
      <alignment horizontal="center" vertical="center"/>
    </xf>
    <xf numFmtId="165" fontId="23" fillId="2" borderId="2" applyAlignment="1" pivotButton="0" quotePrefix="0" xfId="1">
      <alignment horizontal="center" vertical="center"/>
    </xf>
    <xf numFmtId="164" fontId="23" fillId="2" borderId="16" applyAlignment="1" pivotButton="0" quotePrefix="0" xfId="1">
      <alignment horizontal="center" vertical="center" wrapText="1"/>
    </xf>
    <xf numFmtId="49" fontId="10" fillId="3" borderId="28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24" fillId="3" borderId="28" applyAlignment="1" pivotButton="0" quotePrefix="0" xfId="1">
      <alignment horizontal="center" vertical="center"/>
    </xf>
    <xf numFmtId="0" fontId="6" fillId="0" borderId="44" applyAlignment="1" pivotButton="0" quotePrefix="0" xfId="1">
      <alignment horizontal="center" vertical="center"/>
    </xf>
    <xf numFmtId="0" fontId="6" fillId="0" borderId="42" applyAlignment="1" pivotButton="0" quotePrefix="0" xfId="1">
      <alignment horizontal="center" vertical="center"/>
    </xf>
    <xf numFmtId="0" fontId="6" fillId="0" borderId="47" applyAlignment="1" pivotButton="0" quotePrefix="0" xfId="1">
      <alignment horizontal="center" vertical="center"/>
    </xf>
    <xf numFmtId="49" fontId="10" fillId="0" borderId="11" applyAlignment="1" pivotButton="0" quotePrefix="0" xfId="0">
      <alignment horizontal="center" vertical="center" wrapText="1"/>
    </xf>
    <xf numFmtId="14" fontId="24" fillId="0" borderId="10" applyAlignment="1" pivotButton="0" quotePrefix="0" xfId="1">
      <alignment horizontal="center" vertical="center"/>
    </xf>
    <xf numFmtId="164" fontId="24" fillId="3" borderId="10" applyAlignment="1" pivotButton="0" quotePrefix="0" xfId="1">
      <alignment horizontal="center" vertical="center"/>
    </xf>
    <xf numFmtId="0" fontId="6" fillId="0" borderId="46" applyAlignment="1" pivotButton="0" quotePrefix="0" xfId="1">
      <alignment horizontal="center" vertical="center"/>
    </xf>
    <xf numFmtId="0" fontId="6" fillId="0" borderId="6" applyAlignment="1" pivotButton="0" quotePrefix="0" xfId="1">
      <alignment horizontal="center" vertical="center"/>
    </xf>
    <xf numFmtId="0" fontId="6" fillId="0" borderId="30" applyAlignment="1" pivotButton="0" quotePrefix="0" xfId="1">
      <alignment horizontal="center" vertical="center"/>
    </xf>
    <xf numFmtId="0" fontId="6" fillId="0" borderId="29" applyAlignment="1" pivotButton="0" quotePrefix="0" xfId="1">
      <alignment horizontal="center" vertical="center"/>
    </xf>
    <xf numFmtId="0" fontId="6" fillId="5" borderId="24" applyAlignment="1" pivotButton="0" quotePrefix="0" xfId="1">
      <alignment horizontal="center" vertical="center"/>
    </xf>
    <xf numFmtId="0" fontId="6" fillId="5" borderId="10" applyAlignment="1" pivotButton="0" quotePrefix="0" xfId="1">
      <alignment horizontal="center" vertical="center"/>
    </xf>
    <xf numFmtId="49" fontId="10" fillId="3" borderId="13" applyAlignment="1" pivotButton="0" quotePrefix="0" xfId="0">
      <alignment horizontal="center" vertical="center" wrapText="1"/>
    </xf>
    <xf numFmtId="164" fontId="24" fillId="3" borderId="13" applyAlignment="1" pivotButton="0" quotePrefix="0" xfId="1">
      <alignment horizontal="center" vertical="center"/>
    </xf>
    <xf numFmtId="0" fontId="6" fillId="0" borderId="38" applyAlignment="1" pivotButton="0" quotePrefix="0" xfId="1">
      <alignment horizontal="center" vertical="center"/>
    </xf>
    <xf numFmtId="0" fontId="6" fillId="0" borderId="26" applyAlignment="1" pivotButton="0" quotePrefix="0" xfId="1">
      <alignment horizontal="center" vertical="center"/>
    </xf>
    <xf numFmtId="0" fontId="6" fillId="0" borderId="27" applyAlignment="1" pivotButton="0" quotePrefix="0" xfId="1">
      <alignment horizontal="center" vertical="center"/>
    </xf>
    <xf numFmtId="0" fontId="6" fillId="0" borderId="25" applyAlignment="1" pivotButton="0" quotePrefix="0" xfId="1">
      <alignment horizontal="center" vertical="center"/>
    </xf>
    <xf numFmtId="0" fontId="6" fillId="5" borderId="12" applyAlignment="1" pivotButton="0" quotePrefix="0" xfId="1">
      <alignment horizontal="center" vertical="center"/>
    </xf>
    <xf numFmtId="0" fontId="6" fillId="5" borderId="13" applyAlignment="1" pivotButton="0" quotePrefix="0" xfId="1">
      <alignment horizontal="center" vertical="center"/>
    </xf>
    <xf numFmtId="49" fontId="10" fillId="3" borderId="7" applyAlignment="1" pivotButton="0" quotePrefix="0" xfId="0">
      <alignment horizontal="center" vertical="center" wrapText="1"/>
    </xf>
    <xf numFmtId="14" fontId="24" fillId="0" borderId="28" applyAlignment="1" pivotButton="0" quotePrefix="0" xfId="1">
      <alignment horizontal="center" vertical="center"/>
    </xf>
    <xf numFmtId="164" fontId="24" fillId="3" borderId="8" applyAlignment="1" pivotButton="0" quotePrefix="0" xfId="1">
      <alignment horizontal="center" vertical="center"/>
    </xf>
    <xf numFmtId="0" fontId="6" fillId="9" borderId="19" applyAlignment="1" pivotButton="0" quotePrefix="0" xfId="1">
      <alignment horizontal="center" vertical="center"/>
    </xf>
    <xf numFmtId="0" fontId="6" fillId="9" borderId="20" applyAlignment="1" pivotButton="0" quotePrefix="0" xfId="1">
      <alignment horizontal="center" vertical="center"/>
    </xf>
    <xf numFmtId="0" fontId="6" fillId="9" borderId="43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43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45" applyAlignment="1" pivotButton="0" quotePrefix="0" xfId="1">
      <alignment horizontal="center" vertical="center"/>
    </xf>
    <xf numFmtId="0" fontId="6" fillId="5" borderId="8" applyAlignment="1" pivotButton="0" quotePrefix="0" xfId="1">
      <alignment horizontal="center" vertical="center"/>
    </xf>
    <xf numFmtId="49" fontId="10" fillId="3" borderId="9" applyAlignment="1" pivotButton="0" quotePrefix="0" xfId="0">
      <alignment horizontal="center" vertical="center" wrapText="1"/>
    </xf>
    <xf numFmtId="0" fontId="6" fillId="9" borderId="29" applyAlignment="1" pivotButton="0" quotePrefix="0" xfId="1">
      <alignment horizontal="center" vertical="center"/>
    </xf>
    <xf numFmtId="0" fontId="6" fillId="9" borderId="6" applyAlignment="1" pivotButton="0" quotePrefix="0" xfId="1">
      <alignment horizontal="center" vertical="center"/>
    </xf>
    <xf numFmtId="0" fontId="6" fillId="9" borderId="33" applyAlignment="1" pivotButton="0" quotePrefix="0" xfId="1">
      <alignment horizontal="center" vertical="center"/>
    </xf>
    <xf numFmtId="0" fontId="6" fillId="0" borderId="33" applyAlignment="1" pivotButton="0" quotePrefix="0" xfId="1">
      <alignment horizontal="center" vertical="center"/>
    </xf>
    <xf numFmtId="14" fontId="1" fillId="0" borderId="8" applyAlignment="1" pivotButton="0" quotePrefix="0" xfId="0">
      <alignment horizontal="center"/>
    </xf>
    <xf numFmtId="164" fontId="24" fillId="3" borderId="7" applyAlignment="1" pivotButton="0" quotePrefix="0" xfId="1">
      <alignment horizontal="center" vertical="center"/>
    </xf>
    <xf numFmtId="0" fontId="6" fillId="9" borderId="41" applyAlignment="1" pivotButton="0" quotePrefix="0" xfId="1">
      <alignment horizontal="center" vertical="center"/>
    </xf>
    <xf numFmtId="0" fontId="6" fillId="9" borderId="14" applyAlignment="1" pivotButton="0" quotePrefix="0" xfId="1">
      <alignment horizontal="center" vertical="center"/>
    </xf>
    <xf numFmtId="0" fontId="6" fillId="9" borderId="39" applyAlignment="1" pivotButton="0" quotePrefix="0" xfId="1">
      <alignment horizontal="center" vertical="center"/>
    </xf>
    <xf numFmtId="0" fontId="6" fillId="0" borderId="40" applyAlignment="1" pivotButton="0" quotePrefix="0" xfId="1">
      <alignment horizontal="center" vertical="center"/>
    </xf>
    <xf numFmtId="0" fontId="6" fillId="0" borderId="14" applyAlignment="1" pivotButton="0" quotePrefix="0" xfId="1">
      <alignment horizontal="center" vertical="center"/>
    </xf>
    <xf numFmtId="0" fontId="6" fillId="0" borderId="32" applyAlignment="1" pivotButton="0" quotePrefix="0" xfId="1">
      <alignment horizontal="center" vertical="center"/>
    </xf>
    <xf numFmtId="14" fontId="1" fillId="0" borderId="10" applyAlignment="1" pivotButton="0" quotePrefix="0" xfId="0">
      <alignment horizontal="center"/>
    </xf>
    <xf numFmtId="164" fontId="24" fillId="3" borderId="9" applyAlignment="1" pivotButton="0" quotePrefix="0" xfId="1">
      <alignment horizontal="center" vertical="center"/>
    </xf>
    <xf numFmtId="164" fontId="24" fillId="3" borderId="24" applyAlignment="1" pivotButton="0" quotePrefix="0" xfId="1">
      <alignment horizontal="center" vertical="center"/>
    </xf>
    <xf numFmtId="164" fontId="24" fillId="3" borderId="34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6" fillId="5" borderId="34" applyAlignment="1" pivotButton="0" quotePrefix="0" xfId="1">
      <alignment horizontal="center" vertical="center"/>
    </xf>
    <xf numFmtId="0" fontId="6" fillId="5" borderId="23" applyAlignment="1" pivotButton="0" quotePrefix="0" xfId="1">
      <alignment horizontal="center" vertical="center"/>
    </xf>
    <xf numFmtId="164" fontId="24" fillId="3" borderId="18" applyAlignment="1" pivotButton="0" quotePrefix="0" xfId="1">
      <alignment horizontal="center" vertical="center"/>
    </xf>
    <xf numFmtId="0" fontId="6" fillId="5" borderId="28" applyAlignment="1" pivotButton="0" quotePrefix="0" xfId="1">
      <alignment horizontal="center" vertical="center"/>
    </xf>
    <xf numFmtId="14" fontId="1" fillId="0" borderId="34" applyAlignment="1" pivotButton="0" quotePrefix="0" xfId="0">
      <alignment horizontal="center"/>
    </xf>
    <xf numFmtId="164" fontId="24" fillId="3" borderId="12" applyAlignment="1" pivotButton="0" quotePrefix="0" xfId="1">
      <alignment horizontal="center" vertical="center"/>
    </xf>
    <xf numFmtId="0" fontId="6" fillId="9" borderId="36" applyAlignment="1" pivotButton="0" quotePrefix="0" xfId="1">
      <alignment horizontal="center" vertical="center"/>
    </xf>
    <xf numFmtId="0" fontId="6" fillId="9" borderId="37" applyAlignment="1" pivotButton="0" quotePrefix="0" xfId="1">
      <alignment horizontal="center" vertical="center"/>
    </xf>
    <xf numFmtId="0" fontId="6" fillId="9" borderId="56" applyAlignment="1" pivotButton="0" quotePrefix="0" xfId="1">
      <alignment horizontal="center" vertical="center"/>
    </xf>
    <xf numFmtId="0" fontId="6" fillId="0" borderId="31" applyAlignment="1" pivotButton="0" quotePrefix="0" xfId="1">
      <alignment horizontal="center" vertical="center"/>
    </xf>
    <xf numFmtId="0" fontId="6" fillId="0" borderId="50" applyAlignment="1" pivotButton="0" quotePrefix="0" xfId="1">
      <alignment horizontal="center" vertical="center"/>
    </xf>
    <xf numFmtId="0" fontId="6" fillId="0" borderId="51" applyAlignment="1" pivotButton="0" quotePrefix="0" xfId="1">
      <alignment horizontal="center" vertical="center"/>
    </xf>
    <xf numFmtId="0" fontId="6" fillId="0" borderId="49" applyAlignment="1" pivotButton="0" quotePrefix="0" xfId="1">
      <alignment horizontal="center" vertical="center"/>
    </xf>
    <xf numFmtId="0" fontId="6" fillId="5" borderId="17" applyAlignment="1" pivotButton="0" quotePrefix="0" xfId="1">
      <alignment horizontal="center" vertical="center"/>
    </xf>
    <xf numFmtId="0" fontId="6" fillId="0" borderId="41" applyAlignment="1" pivotButton="0" quotePrefix="0" xfId="1">
      <alignment horizontal="center" vertical="center"/>
    </xf>
    <xf numFmtId="49" fontId="20" fillId="3" borderId="9" applyAlignment="1" pivotButton="0" quotePrefix="0" xfId="0">
      <alignment horizontal="center" vertical="center" wrapText="1"/>
    </xf>
    <xf numFmtId="14" fontId="25" fillId="0" borderId="10" applyAlignment="1" pivotButton="0" quotePrefix="0" xfId="0">
      <alignment horizontal="center"/>
    </xf>
    <xf numFmtId="0" fontId="6" fillId="0" borderId="52" applyAlignment="1" pivotButton="0" quotePrefix="0" xfId="1">
      <alignment horizontal="center" vertical="center"/>
    </xf>
    <xf numFmtId="0" fontId="6" fillId="0" borderId="39" applyAlignment="1" pivotButton="0" quotePrefix="0" xfId="1">
      <alignment horizontal="center" vertical="center"/>
    </xf>
    <xf numFmtId="0" fontId="0" fillId="0" borderId="3" pivotButton="0" quotePrefix="0" xfId="0"/>
    <xf numFmtId="0" fontId="23" fillId="4" borderId="4" applyAlignment="1" pivotButton="0" quotePrefix="0" xfId="1">
      <alignment horizontal="center" vertical="center"/>
    </xf>
    <xf numFmtId="164" fontId="23" fillId="4" borderId="4" applyAlignment="1" pivotButton="0" quotePrefix="0" xfId="1">
      <alignment horizontal="center" vertical="center" wrapText="1" shrinkToFit="1"/>
    </xf>
    <xf numFmtId="0" fontId="6" fillId="6" borderId="6" applyAlignment="1" pivotButton="0" quotePrefix="0" xfId="1">
      <alignment horizontal="center" vertical="center"/>
    </xf>
    <xf numFmtId="0" fontId="6" fillId="6" borderId="14" applyAlignment="1" pivotButton="0" quotePrefix="0" xfId="1">
      <alignment horizontal="center" vertical="center"/>
    </xf>
    <xf numFmtId="0" fontId="9" fillId="8" borderId="6" applyAlignment="1" pivotButton="0" quotePrefix="0" xfId="0">
      <alignment horizontal="center" vertical="center" wrapText="1"/>
    </xf>
    <xf numFmtId="49" fontId="13" fillId="0" borderId="6" applyAlignment="1" pivotButton="0" quotePrefix="0" xfId="0">
      <alignment horizontal="center" vertical="center" wrapText="1"/>
    </xf>
    <xf numFmtId="49" fontId="10" fillId="3" borderId="6" applyAlignment="1" pivotButton="0" quotePrefix="0" xfId="0">
      <alignment horizontal="center" vertical="center" wrapText="1"/>
    </xf>
    <xf numFmtId="164" fontId="24" fillId="3" borderId="6" applyAlignment="1" pivotButton="0" quotePrefix="0" xfId="1">
      <alignment horizontal="center" vertical="center"/>
    </xf>
    <xf numFmtId="0" fontId="6" fillId="5" borderId="6" applyAlignment="1" pivotButton="0" quotePrefix="0" xfId="1">
      <alignment horizontal="center" vertical="center"/>
    </xf>
    <xf numFmtId="2" fontId="6" fillId="0" borderId="6" applyAlignment="1" pivotButton="0" quotePrefix="0" xfId="1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49" fontId="10" fillId="0" borderId="6" applyAlignment="1" pivotButton="0" quotePrefix="0" xfId="0">
      <alignment horizontal="center" vertical="center" wrapText="1"/>
    </xf>
    <xf numFmtId="14" fontId="24" fillId="0" borderId="6" applyAlignment="1" pivotButton="0" quotePrefix="0" xfId="1">
      <alignment horizontal="center" vertical="center"/>
    </xf>
    <xf numFmtId="0" fontId="9" fillId="15" borderId="6" applyAlignment="1" pivotButton="0" quotePrefix="0" xfId="0">
      <alignment horizontal="center" vertical="center" wrapText="1"/>
    </xf>
    <xf numFmtId="0" fontId="26" fillId="6" borderId="6" applyAlignment="1" pivotButton="0" quotePrefix="0" xfId="1">
      <alignment horizontal="center" vertical="center"/>
    </xf>
    <xf numFmtId="0" fontId="9" fillId="10" borderId="6" applyAlignment="1" pivotButton="0" quotePrefix="0" xfId="0">
      <alignment horizontal="center" vertical="center" wrapText="1"/>
    </xf>
    <xf numFmtId="14" fontId="1" fillId="0" borderId="6" applyAlignment="1" pivotButton="0" quotePrefix="0" xfId="0">
      <alignment horizontal="center"/>
    </xf>
    <xf numFmtId="0" fontId="9" fillId="9" borderId="6" applyAlignment="1" pivotButton="0" quotePrefix="0" xfId="0">
      <alignment horizontal="center" vertical="center" wrapText="1"/>
    </xf>
    <xf numFmtId="0" fontId="9" fillId="16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0" fontId="19" fillId="13" borderId="6" applyAlignment="1" pivotButton="0" quotePrefix="0" xfId="0">
      <alignment horizontal="center" vertical="center" wrapText="1"/>
    </xf>
    <xf numFmtId="49" fontId="20" fillId="3" borderId="6" applyAlignment="1" pivotButton="0" quotePrefix="0" xfId="0">
      <alignment horizontal="center" vertical="center" wrapText="1"/>
    </xf>
    <xf numFmtId="14" fontId="25" fillId="0" borderId="6" applyAlignment="1" pivotButton="0" quotePrefix="0" xfId="0">
      <alignment horizontal="center"/>
    </xf>
    <xf numFmtId="0" fontId="9" fillId="13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horizontal="center" vertical="center" wrapText="1"/>
    </xf>
    <xf numFmtId="0" fontId="13" fillId="12" borderId="6" applyAlignment="1" pivotButton="0" quotePrefix="0" xfId="0">
      <alignment horizontal="center" vertical="center" wrapText="1"/>
    </xf>
    <xf numFmtId="0" fontId="3" fillId="0" borderId="6" pivotButton="0" quotePrefix="0" xfId="0"/>
    <xf numFmtId="0" fontId="0" fillId="0" borderId="6" pivotButton="0" quotePrefix="0" xfId="0"/>
    <xf numFmtId="0" fontId="23" fillId="4" borderId="6" applyAlignment="1" pivotButton="0" quotePrefix="0" xfId="1">
      <alignment horizontal="center" vertical="center"/>
    </xf>
    <xf numFmtId="164" fontId="23" fillId="4" borderId="6" applyAlignment="1" pivotButton="0" quotePrefix="0" xfId="1">
      <alignment horizontal="center" vertical="center" wrapText="1" shrinkToFit="1"/>
    </xf>
    <xf numFmtId="0" fontId="9" fillId="8" borderId="14" applyAlignment="1" pivotButton="0" quotePrefix="0" xfId="0">
      <alignment horizontal="center" vertical="center" wrapText="1"/>
    </xf>
    <xf numFmtId="49" fontId="13" fillId="0" borderId="14" applyAlignment="1" pivotButton="0" quotePrefix="0" xfId="0">
      <alignment horizontal="center" vertical="center" wrapText="1"/>
    </xf>
    <xf numFmtId="49" fontId="10" fillId="3" borderId="14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164" fontId="24" fillId="3" borderId="14" applyAlignment="1" pivotButton="0" quotePrefix="0" xfId="1">
      <alignment horizontal="center" vertical="center"/>
    </xf>
    <xf numFmtId="0" fontId="6" fillId="5" borderId="14" applyAlignment="1" pivotButton="0" quotePrefix="0" xfId="1">
      <alignment horizontal="center" vertical="center"/>
    </xf>
    <xf numFmtId="2" fontId="6" fillId="0" borderId="14" applyAlignment="1" pivotButton="0" quotePrefix="0" xfId="1">
      <alignment horizontal="center" vertical="center"/>
    </xf>
    <xf numFmtId="0" fontId="27" fillId="18" borderId="57" applyAlignment="1" pivotButton="0" quotePrefix="0" xfId="0">
      <alignment vertical="center"/>
    </xf>
    <xf numFmtId="164" fontId="28" fillId="18" borderId="57" applyAlignment="1" pivotButton="0" quotePrefix="0" xfId="1">
      <alignment horizontal="right" vertical="center"/>
    </xf>
    <xf numFmtId="14" fontId="28" fillId="18" borderId="57" applyAlignment="1" pivotButton="0" quotePrefix="0" xfId="1">
      <alignment horizontal="center" vertical="center"/>
    </xf>
    <xf numFmtId="0" fontId="27" fillId="18" borderId="57" applyAlignment="1" pivotButton="0" quotePrefix="0" xfId="0">
      <alignment horizontal="center" vertical="center"/>
    </xf>
    <xf numFmtId="0" fontId="29" fillId="18" borderId="57" applyAlignment="1" pivotButton="0" quotePrefix="0" xfId="0">
      <alignment horizontal="center" vertical="center"/>
    </xf>
    <xf numFmtId="165" fontId="29" fillId="18" borderId="57" applyAlignment="1" pivotButton="0" quotePrefix="0" xfId="1">
      <alignment horizontal="center" vertical="center"/>
    </xf>
    <xf numFmtId="164" fontId="29" fillId="18" borderId="57" applyAlignment="1" pivotButton="0" quotePrefix="0" xfId="1">
      <alignment horizontal="center" vertical="center" wrapText="1"/>
    </xf>
    <xf numFmtId="0" fontId="27" fillId="18" borderId="6" applyAlignment="1" pivotButton="0" quotePrefix="0" xfId="0">
      <alignment vertical="center"/>
    </xf>
    <xf numFmtId="164" fontId="28" fillId="18" borderId="6" applyAlignment="1" pivotButton="0" quotePrefix="0" xfId="1">
      <alignment horizontal="right" vertical="center"/>
    </xf>
    <xf numFmtId="14" fontId="28" fillId="18" borderId="6" applyAlignment="1" pivotButton="0" quotePrefix="0" xfId="1">
      <alignment horizontal="center" vertical="center"/>
    </xf>
    <xf numFmtId="0" fontId="27" fillId="18" borderId="6" applyAlignment="1" pivotButton="0" quotePrefix="0" xfId="0">
      <alignment horizontal="center" vertical="center"/>
    </xf>
    <xf numFmtId="0" fontId="29" fillId="18" borderId="6" applyAlignment="1" pivotButton="0" quotePrefix="0" xfId="0">
      <alignment horizontal="center" vertical="center"/>
    </xf>
    <xf numFmtId="165" fontId="29" fillId="18" borderId="6" applyAlignment="1" pivotButton="0" quotePrefix="0" xfId="1">
      <alignment horizontal="center" vertical="center"/>
    </xf>
    <xf numFmtId="164" fontId="29" fillId="18" borderId="6" applyAlignment="1" pivotButton="0" quotePrefix="0" xfId="1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9" fillId="7" borderId="6" applyAlignment="1" pivotButton="0" quotePrefix="0" xfId="0">
      <alignment horizontal="center" vertical="center" wrapText="1"/>
    </xf>
    <xf numFmtId="0" fontId="6" fillId="0" borderId="58" applyAlignment="1" pivotButton="0" quotePrefix="0" xfId="1">
      <alignment horizontal="center" vertical="center"/>
    </xf>
    <xf numFmtId="0" fontId="6" fillId="0" borderId="48" applyAlignment="1" pivotButton="0" quotePrefix="0" xfId="1">
      <alignment horizontal="center" vertical="center"/>
    </xf>
    <xf numFmtId="0" fontId="6" fillId="0" borderId="59" applyAlignment="1" pivotButton="0" quotePrefix="0" xfId="1">
      <alignment horizontal="center" vertical="center"/>
    </xf>
    <xf numFmtId="164" fontId="30" fillId="3" borderId="6" applyAlignment="1" pivotButton="0" quotePrefix="0" xfId="1">
      <alignment horizontal="center" vertical="center"/>
    </xf>
    <xf numFmtId="164" fontId="10" fillId="3" borderId="6" applyAlignment="1" pivotButton="0" quotePrefix="0" xfId="1">
      <alignment horizontal="center" vertical="center"/>
    </xf>
    <xf numFmtId="14" fontId="1" fillId="0" borderId="6" applyAlignment="1" pivotButton="0" quotePrefix="0" xfId="0">
      <alignment horizontal="center" vertical="center"/>
    </xf>
    <xf numFmtId="0" fontId="11" fillId="0" borderId="0" applyAlignment="1" pivotButton="0" quotePrefix="0" xfId="6">
      <alignment horizontal="center" vertical="center"/>
    </xf>
    <xf numFmtId="0" fontId="11" fillId="0" borderId="0" applyAlignment="1" pivotButton="0" quotePrefix="0" xfId="6">
      <alignment vertical="center"/>
    </xf>
    <xf numFmtId="0" fontId="32" fillId="0" borderId="0" applyAlignment="1" pivotButton="0" quotePrefix="0" xfId="6">
      <alignment vertical="center"/>
    </xf>
    <xf numFmtId="0" fontId="11" fillId="0" borderId="0" applyAlignment="1" pivotButton="0" quotePrefix="0" xfId="6">
      <alignment horizontal="right" vertical="center"/>
    </xf>
    <xf numFmtId="14" fontId="11" fillId="0" borderId="0" applyAlignment="1" pivotButton="0" quotePrefix="0" xfId="6">
      <alignment vertical="center"/>
    </xf>
    <xf numFmtId="0" fontId="31" fillId="19" borderId="6" applyAlignment="1" pivotButton="0" quotePrefix="0" xfId="6">
      <alignment horizontal="center" vertical="center"/>
    </xf>
    <xf numFmtId="0" fontId="11" fillId="0" borderId="6" applyAlignment="1" pivotButton="0" quotePrefix="0" xfId="6">
      <alignment horizontal="center" vertical="center"/>
    </xf>
    <xf numFmtId="0" fontId="31" fillId="0" borderId="6" applyAlignment="1" pivotButton="0" quotePrefix="0" xfId="6">
      <alignment horizontal="center" vertical="center"/>
    </xf>
    <xf numFmtId="0" fontId="31" fillId="0" borderId="61" applyAlignment="1" pivotButton="0" quotePrefix="0" xfId="6">
      <alignment vertical="center"/>
    </xf>
    <xf numFmtId="0" fontId="11" fillId="0" borderId="0" applyAlignment="1" pivotButton="0" quotePrefix="0" xfId="6">
      <alignment horizontal="left" vertical="top"/>
    </xf>
    <xf numFmtId="0" fontId="11" fillId="0" borderId="0" applyAlignment="1" pivotButton="0" quotePrefix="0" xfId="6">
      <alignment horizontal="center" vertical="center"/>
    </xf>
    <xf numFmtId="0" fontId="11" fillId="0" borderId="26" applyAlignment="1" pivotButton="0" quotePrefix="0" xfId="6">
      <alignment horizontal="center" vertical="center"/>
    </xf>
    <xf numFmtId="0" fontId="11" fillId="0" borderId="48" applyAlignment="1" pivotButton="0" quotePrefix="0" xfId="6">
      <alignment horizontal="center" vertical="center"/>
    </xf>
    <xf numFmtId="166" fontId="31" fillId="0" borderId="33" applyAlignment="1" pivotButton="0" quotePrefix="0" xfId="6">
      <alignment horizontal="center" vertical="center"/>
    </xf>
    <xf numFmtId="166" fontId="31" fillId="0" borderId="60" applyAlignment="1" pivotButton="0" quotePrefix="0" xfId="6">
      <alignment horizontal="center" vertical="center"/>
    </xf>
    <xf numFmtId="166" fontId="31" fillId="0" borderId="46" applyAlignment="1" pivotButton="0" quotePrefix="0" xfId="6">
      <alignment horizontal="center" vertical="center"/>
    </xf>
    <xf numFmtId="0" fontId="11" fillId="0" borderId="0" applyAlignment="1" pivotButton="0" quotePrefix="0" xfId="6">
      <alignment horizontal="left" vertical="center" wrapText="1"/>
    </xf>
    <xf numFmtId="0" fontId="11" fillId="0" borderId="0" applyAlignment="1" pivotButton="0" quotePrefix="0" xfId="6">
      <alignment horizontal="left" vertical="center"/>
    </xf>
    <xf numFmtId="0" fontId="11" fillId="0" borderId="0" applyAlignment="1" pivotButton="0" quotePrefix="0" xfId="6">
      <alignment horizontal="center" vertical="center" wrapText="1"/>
    </xf>
    <xf numFmtId="0" fontId="31" fillId="0" borderId="0" applyAlignment="1" pivotButton="0" quotePrefix="0" xfId="6">
      <alignment horizontal="center" vertical="center"/>
    </xf>
    <xf numFmtId="0" fontId="32" fillId="0" borderId="0" applyAlignment="1" pivotButton="0" quotePrefix="0" xfId="6">
      <alignment horizontal="center" vertical="center"/>
    </xf>
    <xf numFmtId="14" fontId="11" fillId="0" borderId="0" applyAlignment="1" pivotButton="0" quotePrefix="0" xfId="6">
      <alignment horizontal="center" vertical="center"/>
    </xf>
    <xf numFmtId="0" fontId="1" fillId="3" borderId="6" applyAlignment="1" pivotButton="0" quotePrefix="0" xfId="0">
      <alignment horizontal="center" vertical="center"/>
    </xf>
    <xf numFmtId="164" fontId="15" fillId="18" borderId="6" applyAlignment="1" pivotButton="0" quotePrefix="0" xfId="1">
      <alignment horizontal="center" vertical="center"/>
    </xf>
    <xf numFmtId="164" fontId="23" fillId="2" borderId="6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15" fillId="18" borderId="57" applyAlignment="1" pivotButton="0" quotePrefix="0" xfId="1">
      <alignment horizontal="center" vertical="center"/>
    </xf>
    <xf numFmtId="0" fontId="1" fillId="3" borderId="14" applyAlignment="1" pivotButton="0" quotePrefix="0" xfId="0">
      <alignment horizontal="center" vertical="center"/>
    </xf>
    <xf numFmtId="164" fontId="5" fillId="2" borderId="3" applyAlignment="1" pivotButton="0" quotePrefix="0" xfId="1">
      <alignment horizontal="center" vertical="center"/>
    </xf>
    <xf numFmtId="164" fontId="5" fillId="2" borderId="15" applyAlignment="1" pivotButton="0" quotePrefix="0" xfId="1">
      <alignment horizontal="center" vertical="center"/>
    </xf>
    <xf numFmtId="164" fontId="5" fillId="2" borderId="5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164" fontId="23" fillId="2" borderId="3" applyAlignment="1" pivotButton="0" quotePrefix="0" xfId="1">
      <alignment horizontal="center" vertical="center"/>
    </xf>
    <xf numFmtId="164" fontId="23" fillId="2" borderId="5" applyAlignment="1" pivotButton="0" quotePrefix="0" xfId="1">
      <alignment horizontal="center" vertical="center"/>
    </xf>
    <xf numFmtId="0" fontId="0" fillId="0" borderId="48" pivotButton="0" quotePrefix="0" xfId="0"/>
    <xf numFmtId="166" fontId="31" fillId="0" borderId="6" applyAlignment="1" pivotButton="0" quotePrefix="0" xfId="6">
      <alignment horizontal="center" vertical="center"/>
    </xf>
    <xf numFmtId="0" fontId="0" fillId="0" borderId="60" pivotButton="0" quotePrefix="0" xfId="0"/>
    <xf numFmtId="0" fontId="0" fillId="0" borderId="46" pivotButton="0" quotePrefix="0" xfId="0"/>
    <xf numFmtId="164" fontId="15" fillId="18" borderId="6" applyAlignment="1" pivotButton="0" quotePrefix="0" xfId="1">
      <alignment horizontal="center" vertical="center"/>
    </xf>
    <xf numFmtId="164" fontId="28" fillId="18" borderId="6" applyAlignment="1" pivotButton="0" quotePrefix="0" xfId="1">
      <alignment horizontal="right" vertical="center"/>
    </xf>
    <xf numFmtId="165" fontId="29" fillId="18" borderId="6" applyAlignment="1" pivotButton="0" quotePrefix="0" xfId="1">
      <alignment horizontal="center" vertical="center"/>
    </xf>
    <xf numFmtId="164" fontId="29" fillId="18" borderId="6" applyAlignment="1" pivotButton="0" quotePrefix="0" xfId="1">
      <alignment horizontal="center" vertical="center" wrapText="1"/>
    </xf>
    <xf numFmtId="164" fontId="24" fillId="3" borderId="6" applyAlignment="1" pivotButton="0" quotePrefix="0" xfId="1">
      <alignment horizontal="center" vertical="center"/>
    </xf>
    <xf numFmtId="0" fontId="0" fillId="0" borderId="14" pivotButton="0" quotePrefix="0" xfId="0"/>
    <xf numFmtId="164" fontId="30" fillId="3" borderId="6" applyAlignment="1" pivotButton="0" quotePrefix="0" xfId="1">
      <alignment horizontal="center" vertical="center"/>
    </xf>
    <xf numFmtId="164" fontId="10" fillId="3" borderId="6" applyAlignment="1" pivotButton="0" quotePrefix="0" xfId="1">
      <alignment horizontal="center" vertical="center"/>
    </xf>
    <xf numFmtId="164" fontId="0" fillId="0" borderId="0" pivotButton="0" quotePrefix="0" xfId="0"/>
    <xf numFmtId="164" fontId="23" fillId="2" borderId="6" applyAlignment="1" pivotButton="0" quotePrefix="0" xfId="1">
      <alignment horizontal="center" vertical="center"/>
    </xf>
    <xf numFmtId="164" fontId="23" fillId="4" borderId="6" applyAlignment="1" pivotButton="0" quotePrefix="0" xfId="1">
      <alignment horizontal="center" vertical="center" wrapText="1" shrinkToFit="1"/>
    </xf>
    <xf numFmtId="164" fontId="15" fillId="18" borderId="57" applyAlignment="1" pivotButton="0" quotePrefix="0" xfId="1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164" fontId="28" fillId="18" borderId="57" applyAlignment="1" pivotButton="0" quotePrefix="0" xfId="1">
      <alignment horizontal="right" vertical="center"/>
    </xf>
    <xf numFmtId="165" fontId="29" fillId="18" borderId="57" applyAlignment="1" pivotButton="0" quotePrefix="0" xfId="1">
      <alignment horizontal="center" vertical="center"/>
    </xf>
    <xf numFmtId="164" fontId="29" fillId="18" borderId="57" applyAlignment="1" pivotButton="0" quotePrefix="0" xfId="1">
      <alignment horizontal="center" vertical="center" wrapText="1"/>
    </xf>
    <xf numFmtId="164" fontId="24" fillId="3" borderId="14" applyAlignment="1" pivotButton="0" quotePrefix="0" xfId="1">
      <alignment horizontal="center" vertical="center"/>
    </xf>
    <xf numFmtId="164" fontId="5" fillId="2" borderId="4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5" pivotButton="0" quotePrefix="0" xfId="0"/>
    <xf numFmtId="164" fontId="14" fillId="2" borderId="3" applyAlignment="1" pivotButton="0" quotePrefix="0" xfId="1">
      <alignment horizontal="right" vertical="center"/>
    </xf>
    <xf numFmtId="165" fontId="23" fillId="2" borderId="53" applyAlignment="1" pivotButton="0" quotePrefix="0" xfId="1">
      <alignment horizontal="center" vertical="center"/>
    </xf>
    <xf numFmtId="165" fontId="23" fillId="2" borderId="54" applyAlignment="1" pivotButton="0" quotePrefix="0" xfId="1">
      <alignment horizontal="center" vertical="center"/>
    </xf>
    <xf numFmtId="165" fontId="23" fillId="2" borderId="2" applyAlignment="1" pivotButton="0" quotePrefix="0" xfId="1">
      <alignment horizontal="center" vertical="center"/>
    </xf>
    <xf numFmtId="164" fontId="23" fillId="2" borderId="16" applyAlignment="1" pivotButton="0" quotePrefix="0" xfId="1">
      <alignment horizontal="center" vertical="center" wrapText="1"/>
    </xf>
    <xf numFmtId="164" fontId="24" fillId="3" borderId="28" applyAlignment="1" pivotButton="0" quotePrefix="0" xfId="1">
      <alignment horizontal="center" vertical="center"/>
    </xf>
    <xf numFmtId="0" fontId="0" fillId="0" borderId="35" pivotButton="0" quotePrefix="0" xfId="0"/>
    <xf numFmtId="164" fontId="24" fillId="3" borderId="10" applyAlignment="1" pivotButton="0" quotePrefix="0" xfId="1">
      <alignment horizontal="center" vertical="center"/>
    </xf>
    <xf numFmtId="164" fontId="24" fillId="3" borderId="13" applyAlignment="1" pivotButton="0" quotePrefix="0" xfId="1">
      <alignment horizontal="center" vertical="center"/>
    </xf>
    <xf numFmtId="164" fontId="24" fillId="3" borderId="8" applyAlignment="1" pivotButton="0" quotePrefix="0" xfId="1">
      <alignment horizontal="center" vertical="center"/>
    </xf>
    <xf numFmtId="0" fontId="0" fillId="0" borderId="23" pivotButton="0" quotePrefix="0" xfId="0"/>
    <xf numFmtId="164" fontId="24" fillId="3" borderId="7" applyAlignment="1" pivotButton="0" quotePrefix="0" xfId="1">
      <alignment horizontal="center" vertical="center"/>
    </xf>
    <xf numFmtId="164" fontId="24" fillId="3" borderId="9" applyAlignment="1" pivotButton="0" quotePrefix="0" xfId="1">
      <alignment horizontal="center" vertical="center"/>
    </xf>
    <xf numFmtId="164" fontId="24" fillId="3" borderId="24" applyAlignment="1" pivotButton="0" quotePrefix="0" xfId="1">
      <alignment horizontal="center" vertical="center"/>
    </xf>
    <xf numFmtId="164" fontId="24" fillId="3" borderId="34" applyAlignment="1" pivotButton="0" quotePrefix="0" xfId="1">
      <alignment horizontal="center" vertical="center"/>
    </xf>
    <xf numFmtId="0" fontId="1" fillId="3" borderId="4" applyAlignment="1" pivotButton="0" quotePrefix="0" xfId="0">
      <alignment horizontal="center" vertical="center"/>
    </xf>
    <xf numFmtId="164" fontId="24" fillId="3" borderId="18" applyAlignment="1" pivotButton="0" quotePrefix="0" xfId="1">
      <alignment horizontal="center" vertical="center"/>
    </xf>
    <xf numFmtId="0" fontId="0" fillId="0" borderId="17" pivotButton="0" quotePrefix="0" xfId="0"/>
    <xf numFmtId="164" fontId="24" fillId="3" borderId="12" applyAlignment="1" pivotButton="0" quotePrefix="0" xfId="1">
      <alignment horizontal="center" vertical="center"/>
    </xf>
    <xf numFmtId="164" fontId="23" fillId="2" borderId="4" applyAlignment="1" pivotButton="0" quotePrefix="0" xfId="1">
      <alignment horizontal="center" vertical="center"/>
    </xf>
    <xf numFmtId="164" fontId="23" fillId="4" borderId="4" applyAlignment="1" pivotButton="0" quotePrefix="0" xfId="1">
      <alignment horizontal="center" vertical="center" wrapText="1" shrinkToFit="1"/>
    </xf>
    <xf numFmtId="0" fontId="33" fillId="20" borderId="0" applyAlignment="1" pivotButton="0" quotePrefix="0" xfId="0">
      <alignment horizontal="center" vertical="center"/>
    </xf>
    <xf numFmtId="0" fontId="33" fillId="21" borderId="0" applyAlignment="1" pivotButton="0" quotePrefix="0" xfId="0">
      <alignment horizontal="center" vertical="center"/>
    </xf>
    <xf numFmtId="0" fontId="34" fillId="0" borderId="0" pivotButton="0" quotePrefix="0" xfId="0"/>
    <xf numFmtId="0" fontId="35" fillId="0" borderId="0" pivotButton="0" quotePrefix="0" xfId="0"/>
  </cellXfs>
  <cellStyles count="7">
    <cellStyle name="Normal" xfId="0" builtinId="0"/>
    <cellStyle name="Milliers" xfId="1" builtinId="3"/>
    <cellStyle name="Normal 2" xfId="2"/>
    <cellStyle name="Normal 3" xfId="3"/>
    <cellStyle name="HyperLink" xfId="4"/>
    <cellStyle name="TableHeader" xfId="5"/>
    <cellStyle name="Normal 4" xfId="6"/>
  </cellStyles>
  <dxfs count="25">
    <dxf>
      <fill>
        <patternFill>
          <bgColor rgb="FF92D05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139826</colOff>
      <row>0</row>
      <rowOff>176747</rowOff>
    </from>
    <to>
      <col>11</col>
      <colOff>299196</colOff>
      <row>3</row>
      <rowOff>202521</rowOff>
    </to>
    <pic>
      <nvPicPr>
        <cNvPr id="3" name="Imag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808326" y="176747"/>
          <a:ext cx="1233097" cy="770456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458974</colOff>
      <row>1</row>
      <rowOff>163285</rowOff>
    </from>
    <to>
      <col>13</col>
      <colOff>95250</colOff>
      <row>3</row>
      <rowOff>42421</rowOff>
    </to>
    <pic>
      <nvPicPr>
        <cNvPr id="3" name="Imag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719260" y="530678"/>
          <a:ext cx="1799811" cy="114460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350117</colOff>
      <row>0</row>
      <rowOff>100052</rowOff>
    </from>
    <to>
      <col>11</col>
      <colOff>108857</colOff>
      <row>2</row>
      <rowOff>1194560</rowOff>
    </to>
    <pic>
      <nvPicPr>
        <cNvPr id="3" name="Imag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1793724" y="100052"/>
          <a:ext cx="2017526" cy="16524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F40"/>
  <sheetViews>
    <sheetView tabSelected="1" topLeftCell="A4" zoomScaleNormal="100" workbookViewId="0">
      <selection activeCell="B22" sqref="B22:E22"/>
    </sheetView>
  </sheetViews>
  <sheetFormatPr baseColWidth="10" defaultColWidth="11.5703125" defaultRowHeight="15"/>
  <cols>
    <col width="11.5703125" customWidth="1" style="180" min="1" max="1"/>
    <col width="46.5703125" bestFit="1" customWidth="1" style="189" min="2" max="2"/>
    <col width="11.5703125" customWidth="1" style="189" min="3" max="4"/>
    <col width="42" customWidth="1" style="189" min="5" max="5"/>
    <col width="11.5703125" customWidth="1" style="180" min="6" max="16384"/>
  </cols>
  <sheetData>
    <row r="6">
      <c r="B6" s="198" t="inlineStr">
        <is>
          <t>SYNDICAT RESIDENCE BELLES LOGE</t>
        </is>
      </c>
      <c r="F6" s="189" t="n"/>
    </row>
    <row r="7">
      <c r="B7" s="189" t="inlineStr">
        <is>
          <t xml:space="preserve"> RUE ATTABARI, QUARTIER LES PRINCESSES, CASABLANCA</t>
        </is>
      </c>
    </row>
    <row r="8">
      <c r="B8" s="189" t="n"/>
    </row>
    <row r="9" ht="73.15000000000001" customHeight="1"/>
    <row r="10" ht="18.75" customHeight="1">
      <c r="B10" s="199" t="inlineStr">
        <is>
          <t>APPEL DE FOND DES CHARGES COMMUNES DE LA COPROPRIETE N°A10-10/26</t>
        </is>
      </c>
      <c r="F10" s="181" t="n"/>
    </row>
    <row r="11">
      <c r="B11" s="182" t="inlineStr">
        <is>
          <t xml:space="preserve">Le </t>
        </is>
      </c>
      <c r="C11" s="200">
        <f>TODAY()</f>
        <v/>
      </c>
      <c r="E11" s="183" t="n"/>
    </row>
    <row r="13" ht="40.9" customHeight="1">
      <c r="B13" s="198" t="inlineStr">
        <is>
          <t>MME HIND DRIOUECH ET MR ABDELAH NACHIT</t>
        </is>
      </c>
    </row>
    <row r="14">
      <c r="B14" s="189" t="inlineStr">
        <is>
          <t>Merci de trouvez ci-joint le détail de votre contribution :</t>
        </is>
      </c>
    </row>
    <row r="16" ht="21" customHeight="1">
      <c r="B16" s="184" t="inlineStr">
        <is>
          <t>DESIGNATION</t>
        </is>
      </c>
      <c r="C16" s="184" t="inlineStr">
        <is>
          <t>N° DE LOT</t>
        </is>
      </c>
      <c r="D16" s="184" t="inlineStr">
        <is>
          <t>MONTANT</t>
        </is>
      </c>
      <c r="E16" s="184" t="inlineStr">
        <is>
          <t>OBSERVATION</t>
        </is>
      </c>
    </row>
    <row r="17" ht="21" customHeight="1">
      <c r="B17" s="190" t="inlineStr">
        <is>
          <t>Prévisions des charges communes</t>
        </is>
      </c>
      <c r="C17" s="185" t="inlineStr">
        <is>
          <t>M02</t>
        </is>
      </c>
      <c r="D17" s="185" t="n">
        <v>1800</v>
      </c>
      <c r="E17" s="185" t="inlineStr">
        <is>
          <t>DE OCTOBRE-2026 à DCEMBRE-2026</t>
        </is>
      </c>
    </row>
    <row r="18" ht="21" customHeight="1">
      <c r="B18" s="219" t="n"/>
      <c r="C18" s="185" t="inlineStr">
        <is>
          <t>M03</t>
        </is>
      </c>
      <c r="D18" s="185" t="n">
        <v>1800</v>
      </c>
      <c r="E18" s="185" t="inlineStr">
        <is>
          <t>DE OCTOBRE-2026 à DCEMBRE-2026</t>
        </is>
      </c>
    </row>
    <row r="19" ht="19.5" customHeight="1">
      <c r="B19" s="186" t="inlineStr">
        <is>
          <t>TOTAL A PAYER</t>
        </is>
      </c>
      <c r="C19" s="220">
        <f>SUM(D17:D18)</f>
        <v/>
      </c>
      <c r="D19" s="221" t="n"/>
      <c r="E19" s="222" t="n"/>
    </row>
    <row r="20" ht="18.75" customHeight="1">
      <c r="B20" s="180" t="inlineStr">
        <is>
          <t>Arrêter le présent appel de fond à la somme de :  TROIS  MILLE SIX CENTS DIRHAM</t>
        </is>
      </c>
      <c r="C20" s="187" t="n"/>
      <c r="D20" s="187" t="n"/>
      <c r="E20" s="187" t="n"/>
    </row>
    <row r="21" ht="47.25" customHeight="1"/>
    <row r="22" ht="43.15" customHeight="1">
      <c r="B22" s="195" t="inlineStr">
        <is>
          <t>LE REGLEMENT DOIT CE FAIRE SUR LE COMPTE BANCAIRE DE LA RESIDENCE OU BIEN UN CHEQUE ETABLIT SELON LES INFORMARTION SUIVANTES :</t>
        </is>
      </c>
    </row>
    <row r="23">
      <c r="B23" s="196" t="inlineStr">
        <is>
          <t>LIBELLE DU COMPTE : SYNDICAT RESIDENCE BELLES LOGES</t>
        </is>
      </c>
    </row>
    <row r="24">
      <c r="B24" s="188" t="inlineStr">
        <is>
          <t>RIB:                                  011 780 0000402100011545 25</t>
        </is>
      </c>
    </row>
    <row r="39">
      <c r="B39" s="197" t="inlineStr">
        <is>
          <t>          </t>
        </is>
      </c>
    </row>
    <row r="40"/>
  </sheetData>
  <mergeCells count="12">
    <mergeCell ref="B23:E23"/>
    <mergeCell ref="B8:E8"/>
    <mergeCell ref="B39:E40"/>
    <mergeCell ref="C19:E19"/>
    <mergeCell ref="C11:D11"/>
    <mergeCell ref="B13:E13"/>
    <mergeCell ref="B6:E6"/>
    <mergeCell ref="B17:B18"/>
    <mergeCell ref="B7:E7"/>
    <mergeCell ref="B14:C14"/>
    <mergeCell ref="B10:E10"/>
    <mergeCell ref="B22:E22"/>
  </mergeCells>
  <pageMargins left="0.3149606299212598" right="0.3149606299212598" top="0.7480314960629921" bottom="0.1574803149606299" header="0.3149606299212598" footer="0.3149606299212598"/>
  <pageSetup orientation="portrait" paperSize="11" scale="53"/>
  <headerFooter>
    <oddHeader/>
    <oddFooter>&amp;C     GUANXI MAROC SARLAU au capital 100000.00DH .13, Rue AHMED EL MAJJATI RES.LES ALPES 1er ETAGE N°8.QUARTIER MAARIF.CASABLANCA   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AA45"/>
  <sheetViews>
    <sheetView topLeftCell="A3" zoomScale="55" zoomScaleNormal="55" workbookViewId="0">
      <selection activeCell="N47" sqref="N47"/>
    </sheetView>
  </sheetViews>
  <sheetFormatPr baseColWidth="10" defaultColWidth="9.140625" defaultRowHeight="15"/>
  <cols>
    <col width="3.5703125" customWidth="1" min="1" max="1"/>
    <col width="50.7109375" bestFit="1" customWidth="1" min="2" max="2"/>
    <col width="28.7109375" bestFit="1" customWidth="1" min="3" max="3"/>
    <col width="31" bestFit="1" customWidth="1" min="4" max="4"/>
    <col width="9.28515625" customWidth="1" min="5" max="5"/>
    <col width="28" customWidth="1" min="6" max="6"/>
    <col width="17.28515625" bestFit="1" customWidth="1" min="7" max="9"/>
    <col width="16.42578125" bestFit="1" customWidth="1" min="10" max="10"/>
    <col width="16.140625" bestFit="1" customWidth="1" min="11" max="11"/>
    <col width="16.28515625" bestFit="1" customWidth="1" min="12" max="12"/>
    <col width="16.42578125" bestFit="1" customWidth="1" min="13" max="13"/>
    <col width="14.28515625" customWidth="1" min="14" max="14"/>
    <col width="15.140625" customWidth="1" min="15" max="15"/>
    <col width="16.85546875" customWidth="1" min="16" max="16"/>
    <col width="12.85546875" customWidth="1" min="17" max="17"/>
    <col width="13.140625" customWidth="1" min="18" max="18"/>
    <col width="21.5703125" bestFit="1" customWidth="1" min="19" max="19"/>
    <col width="21.42578125" customWidth="1" min="20" max="20"/>
    <col width="24.85546875" bestFit="1" customWidth="1" min="21" max="21"/>
    <col width="27" customWidth="1" min="22" max="22"/>
    <col width="20" customWidth="1" min="23" max="23"/>
    <col width="30" customWidth="1" min="24" max="24"/>
    <col width="45" customWidth="1" min="25" max="25"/>
    <col width="25" customWidth="1" min="26" max="26"/>
    <col width="9.5703125" bestFit="1" customWidth="1" min="27" max="27"/>
  </cols>
  <sheetData>
    <row r="1" ht="28.5" customHeight="1"/>
    <row r="4" ht="48.75" customHeight="1"/>
    <row r="5" ht="42.75" customHeight="1">
      <c r="B5" s="164" t="n"/>
      <c r="C5" s="164" t="n"/>
      <c r="D5" s="164" t="n"/>
      <c r="E5" s="223" t="inlineStr">
        <is>
          <t>Résidence LES BELLES LOGES : Situation annuelle des cotisations syndicales  Année  2026</t>
        </is>
      </c>
      <c r="F5" s="221" t="n"/>
      <c r="G5" s="221" t="n"/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2" t="n"/>
      <c r="S5" s="224" t="inlineStr">
        <is>
          <t>Edité le :</t>
        </is>
      </c>
      <c r="T5" s="224" t="n"/>
      <c r="U5" s="166">
        <f>TODAY()</f>
        <v/>
      </c>
      <c r="V5" s="166" t="n"/>
    </row>
    <row r="6" ht="44.25" customHeight="1">
      <c r="B6" s="167" t="inlineStr">
        <is>
          <t>Nom du copropriétaire</t>
        </is>
      </c>
      <c r="C6" s="167" t="inlineStr">
        <is>
          <t>N° de Tel</t>
        </is>
      </c>
      <c r="D6" s="167" t="inlineStr">
        <is>
          <t>Date d'aquisition</t>
        </is>
      </c>
      <c r="E6" s="167" t="inlineStr">
        <is>
          <t>Etage</t>
        </is>
      </c>
      <c r="F6" s="168" t="inlineStr">
        <is>
          <t>N° du lot</t>
        </is>
      </c>
      <c r="G6" s="225" t="n">
        <v>46023</v>
      </c>
      <c r="H6" s="225" t="n">
        <v>46054</v>
      </c>
      <c r="I6" s="225" t="n">
        <v>46082</v>
      </c>
      <c r="J6" s="225" t="n">
        <v>46113</v>
      </c>
      <c r="K6" s="225" t="n">
        <v>46143</v>
      </c>
      <c r="L6" s="225" t="n">
        <v>46174</v>
      </c>
      <c r="M6" s="225" t="n">
        <v>46204</v>
      </c>
      <c r="N6" s="225" t="n">
        <v>46235</v>
      </c>
      <c r="O6" s="225" t="n">
        <v>46266</v>
      </c>
      <c r="P6" s="225" t="n">
        <v>46296</v>
      </c>
      <c r="Q6" s="225" t="n">
        <v>46327</v>
      </c>
      <c r="R6" s="225" t="n">
        <v>46357</v>
      </c>
      <c r="S6" s="226" t="inlineStr">
        <is>
          <t>Total des cotisations payées en 2025</t>
        </is>
      </c>
      <c r="T6" s="226" t="inlineStr">
        <is>
          <t>Reste à payer en 2026</t>
        </is>
      </c>
      <c r="U6" s="226" t="inlineStr">
        <is>
          <t>Les arriérés 2025</t>
        </is>
      </c>
      <c r="V6" s="226" t="inlineStr">
        <is>
          <t>Les arriérés 2024</t>
        </is>
      </c>
      <c r="W6" s="265" t="inlineStr">
        <is>
          <t>Lien PDF Statique</t>
        </is>
      </c>
      <c r="X6" s="266" t="inlineStr">
        <is>
          <t>📲 ENVOYER WHATSAPP (1-CLIC)</t>
        </is>
      </c>
      <c r="Y6" s="265" t="inlineStr">
        <is>
          <t>Message WhatsApp Prêt</t>
        </is>
      </c>
      <c r="Z6" s="265" t="inlineStr">
        <is>
          <t>Lien Espace Client Direct</t>
        </is>
      </c>
    </row>
    <row r="7" ht="24.95" customHeight="1">
      <c r="B7" s="122" t="inlineStr">
        <is>
          <t>NMJ CAPITAL</t>
        </is>
      </c>
      <c r="C7" s="123" t="inlineStr">
        <is>
          <t>0669281802</t>
        </is>
      </c>
      <c r="D7" s="171" t="n"/>
      <c r="E7" s="201" t="inlineStr">
        <is>
          <t>RDC</t>
        </is>
      </c>
      <c r="F7" s="227" t="inlineStr">
        <is>
          <t>Magasin N° 1</t>
        </is>
      </c>
      <c r="G7" s="55" t="n">
        <v>0</v>
      </c>
      <c r="H7" s="55" t="n">
        <v>0</v>
      </c>
      <c r="I7" s="55" t="n">
        <v>0</v>
      </c>
      <c r="J7" s="55" t="n">
        <v>0</v>
      </c>
      <c r="K7" s="55" t="n">
        <v>0</v>
      </c>
      <c r="L7" s="55" t="n">
        <v>0</v>
      </c>
      <c r="M7" s="55" t="n">
        <v>0</v>
      </c>
      <c r="N7" s="55" t="n">
        <v>0</v>
      </c>
      <c r="O7" s="55" t="n">
        <v>0</v>
      </c>
      <c r="P7" s="55" t="n">
        <v>0</v>
      </c>
      <c r="Q7" s="55" t="n">
        <v>0</v>
      </c>
      <c r="R7" s="55" t="n">
        <v>0</v>
      </c>
      <c r="S7" s="126" t="n">
        <v>0</v>
      </c>
      <c r="T7" s="126">
        <f>-(1800-S7)</f>
        <v/>
      </c>
      <c r="U7" s="127">
        <f>'Cotisation 2025'!U7</f>
        <v/>
      </c>
      <c r="V7" s="127">
        <f>'Cotisation 2025'!V7</f>
        <v/>
      </c>
      <c r="W7" s="267">
        <f>HYPERLINK("https://srbl.netlify.app/pdf/appel-M01.pdf", "📄 Voir PDF (M01)")</f>
        <v/>
      </c>
      <c r="X7" s="268">
        <f>HYPERLINK("https://wa.me/212669281802?text=%F0%9F%8F%A2%20%2ASYNDICAT%20R%C3%89SIDENCE%20BELLES%20LOGES%2A%0A%F0%9F%93%8D%20Rue%20Attabari%2C%20Quartier%20Les%20Princesses%2C%20Casablanca%0A%0ABonjour%20%2ANMJ%20CAPITAL%2A%2C%0A%0AVeuillez%20trouver%20ci-dessous%20l%27appel%20de%20cotisations%20syndicales%20pour%20votre%20bien%20%28%2AMagasin%20N%C2%B0%201%2A%20/%20M01%29%20%3A%0A%0A%F0%9F%93%85%20%2AP%C3%A9riode%20%3A%2A%20Ann%C3%A9e%202026%0A%F0%9F%92%B0%20%2ATotal%20%C3%A0%20r%C3%A9gler%20%3A%2A%20%2A1800%20DH%2A%0A%0A%F0%9F%93%84%20%2AT%C3%A9l%C3%A9charger%20votre%20document%20officiel%20%28PDF%29%20%3A%2A%0A%F0%9F%91%89%20https%3A//srbl.netlify.app/pdf/appel-M01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M01%20-%20NMJ%20CAPITAL_%0A%0AMerci%20pour%20votre%20pr%C3%A9cieuse%20collaboration.%0A%2ALe%20Bureau%20du%20Syndic%2A", "📲 Envoyer WhatsApp Direct")</f>
        <v/>
      </c>
      <c r="Y7" t="inlineStr">
        <is>
          <t>🏢 *SYNDICAT RÉSIDENCE BELLES LOGES*
📍 Rue Attabari, Quartier Les Princesses, Casablanca
Bonjour *NMJ CAPITAL*,
Veuillez trouver ci-dessous l'appel de cotisations syndicales pour votre bien (*Magasin N° 1* / M01) :
📅 *Période :* Année 2026
💰 *Total à régler :* *1800 DH*
📄 *Télécharger votre document officiel (PDF) :*
👉 https://srbl.netlify.app/pdf/appel-M01.pdf
🏦 *Coordonnées bancaires pour le virement :*
• *Bénéficiaire :* SYNDICAT RESIDENCE BELLES LOGES
• *Banque :* BMCE / BANK OF AFRICA
• *RIB :* `011 780 0000402100011545 25`
_Motif : M01 - NMJ CAPITAL_
Merci pour votre précieuse collaboration.
*Le Bureau du Syndic*</t>
        </is>
      </c>
      <c r="Z7" s="267">
        <f>HYPERLINK("https://srbl.netlify.app/?client=M01", "👤 Espace Client (M01)")</f>
        <v/>
      </c>
    </row>
    <row r="8" ht="24.95" customHeight="1">
      <c r="B8" s="128" t="inlineStr">
        <is>
          <t>HIND DRIOUECH ET MR ABDELAH NACHIT</t>
        </is>
      </c>
      <c r="C8" s="129" t="inlineStr">
        <is>
          <t>0669791313</t>
        </is>
      </c>
      <c r="D8" s="130" t="n">
        <v>45313</v>
      </c>
      <c r="E8" s="219" t="n"/>
      <c r="F8" s="227" t="inlineStr">
        <is>
          <t>Magasin N° 2</t>
        </is>
      </c>
      <c r="G8" s="55" t="n">
        <v>0</v>
      </c>
      <c r="H8" s="55" t="n">
        <v>0</v>
      </c>
      <c r="I8" s="55" t="n">
        <v>0</v>
      </c>
      <c r="J8" s="55" t="n">
        <v>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0</v>
      </c>
      <c r="S8" s="126">
        <f>SUM(G8:R8)</f>
        <v/>
      </c>
      <c r="T8" s="126">
        <f>-(1800-S8)</f>
        <v/>
      </c>
      <c r="U8" s="127">
        <f>'Cotisation 2025'!U8</f>
        <v/>
      </c>
      <c r="V8" s="127">
        <f>'Cotisation 2025'!V8</f>
        <v/>
      </c>
      <c r="W8" s="267">
        <f>HYPERLINK("https://srbl.netlify.app/pdf/appel-M02.pdf", "📄 Voir PDF (M02)")</f>
        <v/>
      </c>
      <c r="X8" s="268">
        <f>HYPERLINK("https://wa.me/212669791313?text=%F0%9F%8F%A2%20%2ASYNDICAT%20R%C3%89SIDENCE%20BELLES%20LOGES%2A%0A%F0%9F%93%8D%20Rue%20Attabari%2C%20Quartier%20Les%20Princesses%2C%20Casablanca%0A%0ABonjour%20%2AHIND%20DRIOUECH%20ET%20MR%20ABDELAH%20NACHIT%2A%2C%0A%0AVeuillez%20trouver%20ci-dessous%20l%27appel%20de%20cotisations%20syndicales%20pour%20votre%20bien%20%28%2AMagasin%20N%C2%B0%202%2A%20/%20M02%29%20%3A%0A%0A%F0%9F%93%85%20%2AP%C3%A9riode%20%3A%2A%20Ann%C3%A9e%202026%0A%F0%9F%92%B0%20%2ATotal%20%C3%A0%20r%C3%A9gler%20%3A%2A%20%2A3150%20DH%2A%20%28dont%20arri%C3%A9r%C3%A9s%20%3A%201350%20DH%29%0A%0A%F0%9F%93%84%20%2AT%C3%A9l%C3%A9charger%20votre%20document%20officiel%20%28PDF%29%20%3A%2A%0A%F0%9F%91%89%20https%3A//srbl.netlify.app/pdf/appel-M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M02%20-%20HIND%20DRIOUECH%20ET%20MR%20ABDELAH%20NACHIT_%0A%0AMerci%20pour%20votre%20pr%C3%A9cieuse%20collaboration.%0A%2ALe%20Bureau%20du%20Syndic%2A", "📲 Envoyer WhatsApp Direct")</f>
        <v/>
      </c>
      <c r="Y8" t="inlineStr">
        <is>
          <t>🏢 *SYNDICAT RÉSIDENCE BELLES LOGES*
📍 Rue Attabari, Quartier Les Princesses, Casablanca
Bonjour *HIND DRIOUECH ET MR ABDELAH NACHIT*,
Veuillez trouver ci-dessous l'appel de cotisations syndicales pour votre bien (*Magasin N° 2* / M02) :
📅 *Période :* Année 2026
💰 *Total à régler :* *3150 DH* (dont arriérés : 1350 DH)
📄 *Télécharger votre document officiel (PDF) :*
👉 https://srbl.netlify.app/pdf/appel-M02.pdf
🏦 *Coordonnées bancaires pour le virement :*
• *Bénéficiaire :* SYNDICAT RESIDENCE BELLES LOGES
• *Banque :* BMCE / BANK OF AFRICA
• *RIB :* `011 780 0000402100011545 25`
_Motif : M02 - HIND DRIOUECH ET MR ABDELAH NACHIT_
Merci pour votre précieuse collaboration.
*Le Bureau du Syndic*</t>
        </is>
      </c>
      <c r="Z8" s="267">
        <f>HYPERLINK("https://srbl.netlify.app/?client=M02", "👤 Espace Client (M02)")</f>
        <v/>
      </c>
    </row>
    <row r="9" ht="24.75" customHeight="1">
      <c r="B9" s="128" t="inlineStr">
        <is>
          <t>HIND DRIOUECH ET MR ABDELAH NACHIT</t>
        </is>
      </c>
      <c r="C9" s="129" t="inlineStr">
        <is>
          <t>0669791313</t>
        </is>
      </c>
      <c r="D9" s="130" t="n">
        <v>45987</v>
      </c>
      <c r="E9" s="219" t="n"/>
      <c r="F9" s="227" t="inlineStr">
        <is>
          <t>Magasin N° 3</t>
        </is>
      </c>
      <c r="G9" s="55" t="n">
        <v>0</v>
      </c>
      <c r="H9" s="55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0</v>
      </c>
      <c r="P9" s="55" t="n">
        <v>0</v>
      </c>
      <c r="Q9" s="55" t="n">
        <v>0</v>
      </c>
      <c r="R9" s="55" t="n">
        <v>0</v>
      </c>
      <c r="S9" s="126">
        <f>SUM(G9:R9)</f>
        <v/>
      </c>
      <c r="T9" s="126">
        <f>-(1800-S9)</f>
        <v/>
      </c>
      <c r="U9" s="127">
        <f>'Cotisation 2025'!U9</f>
        <v/>
      </c>
      <c r="V9" s="127">
        <f>'Cotisation 2025'!V9</f>
        <v/>
      </c>
      <c r="W9" s="267">
        <f>HYPERLINK("https://srbl.netlify.app/pdf/appel-M03.pdf", "📄 Voir PDF (M03)")</f>
        <v/>
      </c>
      <c r="X9" s="268">
        <f>HYPERLINK("https://wa.me/212669791313?text=%F0%9F%8F%A2%20%2ASYNDICAT%20R%C3%89SIDENCE%20BELLES%20LOGES%2A%0A%F0%9F%93%8D%20Rue%20Attabari%2C%20Quartier%20Les%20Princesses%2C%20Casablanca%0A%0ABonjour%20%2AHIND%20DRIOUECH%20ET%20MR%20ABDELAH%20NACHIT%2A%2C%0A%0AVeuillez%20trouver%20ci-dessous%20l%27appel%20de%20cotisations%20syndicales%20pour%20votre%20bien%20%28%2AMagasin%20N%C2%B0%203%2A%20/%20M03%29%20%3A%0A%0A%F0%9F%93%85%20%2AP%C3%A9riode%20%3A%2A%20Ann%C3%A9e%202026%0A%F0%9F%92%B0%20%2ATotal%20%C3%A0%20r%C3%A9gler%20%3A%2A%20%2A1800%20DH%2A%0A%0A%F0%9F%93%84%20%2AT%C3%A9l%C3%A9charger%20votre%20document%20officiel%20%28PDF%29%20%3A%2A%0A%F0%9F%91%89%20https%3A//srbl.netlify.app/pdf/appel-M03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M03%20-%20HIND%20DRIOUECH%20ET%20MR%20ABDELAH%20NACHIT_%0A%0AMerci%20pour%20votre%20pr%C3%A9cieuse%20collaboration.%0A%2ALe%20Bureau%20du%20Syndic%2A", "📲 Envoyer WhatsApp Direct")</f>
        <v/>
      </c>
      <c r="Y9" t="inlineStr">
        <is>
          <t>🏢 *SYNDICAT RÉSIDENCE BELLES LOGES*
📍 Rue Attabari, Quartier Les Princesses, Casablanca
Bonjour *HIND DRIOUECH ET MR ABDELAH NACHIT*,
Veuillez trouver ci-dessous l'appel de cotisations syndicales pour votre bien (*Magasin N° 3* / M03) :
📅 *Période :* Année 2026
💰 *Total à régler :* *1800 DH*
📄 *Télécharger votre document officiel (PDF) :*
👉 https://srbl.netlify.app/pdf/appel-M03.pdf
🏦 *Coordonnées bancaires pour le virement :*
• *Bénéficiaire :* SYNDICAT RESIDENCE BELLES LOGES
• *Banque :* BMCE / BANK OF AFRICA
• *RIB :* `011 780 0000402100011545 25`
_Motif : M03 - HIND DRIOUECH ET MR ABDELAH NACHIT_
Merci pour votre précieuse collaboration.
*Le Bureau du Syndic*</t>
        </is>
      </c>
      <c r="Z9" s="267">
        <f>HYPERLINK("https://srbl.netlify.app/?client=M03", "👤 Espace Client (M03)")</f>
        <v/>
      </c>
    </row>
    <row r="10" ht="24.95" customHeight="1">
      <c r="B10" s="122" t="inlineStr">
        <is>
          <t>NMJ CAPITAL</t>
        </is>
      </c>
      <c r="C10" s="123" t="inlineStr">
        <is>
          <t>0669281802</t>
        </is>
      </c>
      <c r="D10" s="130" t="n"/>
      <c r="E10" s="228" t="n"/>
      <c r="F10" s="227" t="inlineStr">
        <is>
          <t>Magasin N° 4</t>
        </is>
      </c>
      <c r="G10" s="55" t="n">
        <v>0</v>
      </c>
      <c r="H10" s="55" t="n">
        <v>0</v>
      </c>
      <c r="I10" s="55" t="n">
        <v>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126">
        <f>SUM(G10:R10)</f>
        <v/>
      </c>
      <c r="T10" s="126">
        <f>-(1800-S10)</f>
        <v/>
      </c>
      <c r="U10" s="127">
        <f>'Cotisation 2025'!U10</f>
        <v/>
      </c>
      <c r="V10" s="127">
        <f>'Cotisation 2025'!V10</f>
        <v/>
      </c>
      <c r="W10" s="267">
        <f>HYPERLINK("https://srbl.netlify.app/pdf/appel-M04.pdf", "📄 Voir PDF (M04)")</f>
        <v/>
      </c>
      <c r="X10" s="268">
        <f>HYPERLINK("https://wa.me/212669281802?text=%F0%9F%8F%A2%20%2ASYNDICAT%20R%C3%89SIDENCE%20BELLES%20LOGES%2A%0A%F0%9F%93%8D%20Rue%20Attabari%2C%20Quartier%20Les%20Princesses%2C%20Casablanca%0A%0ABonjour%20%2ANMJ%20CAPITAL%2A%2C%0A%0AVeuillez%20trouver%20ci-dessous%20l%27appel%20de%20cotisations%20syndicales%20pour%20votre%20bien%20%28%2AMagasin%20N%C2%B0%204%2A%20/%20M04%29%20%3A%0A%0A%F0%9F%93%85%20%2AP%C3%A9riode%20%3A%2A%20Ann%C3%A9e%202026%0A%F0%9F%92%B0%20%2ATotal%20%C3%A0%20r%C3%A9gler%20%3A%2A%20%2A1800%20DH%2A%0A%0A%F0%9F%93%84%20%2AT%C3%A9l%C3%A9charger%20votre%20document%20officiel%20%28PDF%29%20%3A%2A%0A%F0%9F%91%89%20https%3A//srbl.netlify.app/pdf/appel-M04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M04%20-%20NMJ%20CAPITAL_%0A%0AMerci%20pour%20votre%20pr%C3%A9cieuse%20collaboration.%0A%2ALe%20Bureau%20du%20Syndic%2A", "📲 Envoyer WhatsApp Direct")</f>
        <v/>
      </c>
      <c r="Y10" t="inlineStr">
        <is>
          <t>🏢 *SYNDICAT RÉSIDENCE BELLES LOGES*
📍 Rue Attabari, Quartier Les Princesses, Casablanca
Bonjour *NMJ CAPITAL*,
Veuillez trouver ci-dessous l'appel de cotisations syndicales pour votre bien (*Magasin N° 4* / M04) :
📅 *Période :* Année 2026
💰 *Total à régler :* *1800 DH*
📄 *Télécharger votre document officiel (PDF) :*
👉 https://srbl.netlify.app/pdf/appel-M04.pdf
🏦 *Coordonnées bancaires pour le virement :*
• *Bénéficiaire :* SYNDICAT RESIDENCE BELLES LOGES
• *Banque :* BMCE / BANK OF AFRICA
• *RIB :* `011 780 0000402100011545 25`
_Motif : M04 - NMJ CAPITAL_
Merci pour votre précieuse collaboration.
*Le Bureau du Syndic*</t>
        </is>
      </c>
      <c r="Z10" s="267">
        <f>HYPERLINK("https://srbl.netlify.app/?client=M04", "👤 Espace Client (M04)")</f>
        <v/>
      </c>
    </row>
    <row r="11" ht="24.95" customHeight="1">
      <c r="B11" s="131" t="inlineStr">
        <is>
          <t>BENYAHYA IHSAN</t>
        </is>
      </c>
      <c r="C11" s="129" t="inlineStr">
        <is>
          <t>0662773532</t>
        </is>
      </c>
      <c r="D11" s="130" t="n">
        <v>44958</v>
      </c>
      <c r="E11" s="201" t="n">
        <v>1</v>
      </c>
      <c r="F11" s="227" t="inlineStr">
        <is>
          <t>Appartement N°1</t>
        </is>
      </c>
      <c r="G11" s="55" t="n">
        <v>300</v>
      </c>
      <c r="H11" s="55" t="n">
        <v>300</v>
      </c>
      <c r="I11" s="55" t="n">
        <v>300</v>
      </c>
      <c r="J11" s="55" t="n">
        <v>300</v>
      </c>
      <c r="K11" s="55" t="n">
        <v>300</v>
      </c>
      <c r="L11" s="55" t="n">
        <v>300</v>
      </c>
      <c r="M11" s="55" t="n">
        <v>300</v>
      </c>
      <c r="N11" s="55" t="n">
        <v>300</v>
      </c>
      <c r="O11" s="55" t="n">
        <v>300</v>
      </c>
      <c r="P11" s="55" t="n">
        <v>0</v>
      </c>
      <c r="Q11" s="55" t="n">
        <v>0</v>
      </c>
      <c r="R11" s="55" t="n">
        <v>0</v>
      </c>
      <c r="S11" s="126">
        <f>SUM(G11:R11)</f>
        <v/>
      </c>
      <c r="T11" s="126">
        <f>-(3600-S11)</f>
        <v/>
      </c>
      <c r="U11" s="127">
        <f>'Cotisation 2025'!U11</f>
        <v/>
      </c>
      <c r="V11" s="127">
        <f>'Cotisation 2025'!V11</f>
        <v/>
      </c>
      <c r="W11" s="267">
        <f>HYPERLINK("https://srbl.netlify.app/pdf/appel-A10.pdf", "📄 Voir PDF (A10)")</f>
        <v/>
      </c>
      <c r="X11" s="268">
        <f>HYPERLINK("https://wa.me/212662773532?text=%F0%9F%8F%A2%20%2ASYNDICAT%20R%C3%89SIDENCE%20BELLES%20LOGES%2A%0A%F0%9F%93%8D%20Rue%20Attabari%2C%20Quartier%20Les%20Princesses%2C%20Casablanca%0A%0ABonjour%20%2ABENYAHYA%20IHSAN%2A%2C%0A%0AVeuillez%20trouver%20ci-dessous%20l%27appel%20de%20cotisations%20syndicales%20pour%20votre%20bien%20%28%2AAppartement%20N%C2%B01%2A%20/%20A10%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10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10%20-%20BENYAHYA%20IHSAN_%0A%0AMerci%20pour%20votre%20pr%C3%A9cieuse%20collaboration.%0A%2ALe%20Bureau%20du%20Syndic%2A", "📲 Envoyer WhatsApp Direct")</f>
        <v/>
      </c>
      <c r="Y11" t="inlineStr">
        <is>
          <t>🏢 *SYNDICAT RÉSIDENCE BELLES LOGES*
📍 Rue Attabari, Quartier Les Princesses, Casablanca
Bonjour *BENYAHYA IHSAN*,
Veuillez trouver ci-dessous l'appel de cotisations syndicales pour votre bien (*Appartement N°1* / A10) :
📅 *Période :* Année 2026
💰 *Total à régler :* *3600 DH*
📄 *Télécharger votre document officiel (PDF) :*
👉 https://srbl.netlify.app/pdf/appel-A10.pdf
🏦 *Coordonnées bancaires pour le virement :*
• *Bénéficiaire :* SYNDICAT RESIDENCE BELLES LOGES
• *Banque :* BMCE / BANK OF AFRICA
• *RIB :* `011 780 0000402100011545 25`
_Motif : A10 - BENYAHYA IHSAN_
Merci pour votre précieuse collaboration.
*Le Bureau du Syndic*</t>
        </is>
      </c>
      <c r="Z11" s="267">
        <f>HYPERLINK("https://srbl.netlify.app/?client=A10", "👤 Espace Client (A10)")</f>
        <v/>
      </c>
    </row>
    <row r="12" ht="24.95" customHeight="1">
      <c r="B12" s="133" t="inlineStr">
        <is>
          <t>GHALLAB HAKIM</t>
        </is>
      </c>
      <c r="C12" s="129" t="inlineStr">
        <is>
          <t>0661411823</t>
        </is>
      </c>
      <c r="D12" s="130" t="n">
        <v>44813</v>
      </c>
      <c r="E12" s="219" t="n"/>
      <c r="F12" s="227" t="inlineStr">
        <is>
          <t>Appartement N°2</t>
        </is>
      </c>
      <c r="G12" s="55" t="n">
        <v>300</v>
      </c>
      <c r="H12" s="55" t="n">
        <v>300</v>
      </c>
      <c r="I12" s="55" t="n">
        <v>300</v>
      </c>
      <c r="J12" s="55" t="n">
        <v>300</v>
      </c>
      <c r="K12" s="55" t="n">
        <v>300</v>
      </c>
      <c r="L12" s="55" t="n">
        <v>300</v>
      </c>
      <c r="M12" s="55" t="n">
        <v>300</v>
      </c>
      <c r="N12" s="55" t="n">
        <v>300</v>
      </c>
      <c r="O12" s="55" t="n">
        <v>300</v>
      </c>
      <c r="P12" s="55" t="n">
        <v>300</v>
      </c>
      <c r="Q12" s="55" t="n">
        <v>300</v>
      </c>
      <c r="R12" s="55" t="n">
        <v>300</v>
      </c>
      <c r="S12" s="126">
        <f>SUM(G12:R12)</f>
        <v/>
      </c>
      <c r="T12" s="126">
        <f>-(3600-S12)</f>
        <v/>
      </c>
      <c r="U12" s="127">
        <f>'Cotisation 2025'!U12</f>
        <v/>
      </c>
      <c r="V12" s="127">
        <f>'Cotisation 2025'!V12</f>
        <v/>
      </c>
      <c r="W12" s="267">
        <f>HYPERLINK("https://srbl.netlify.app/pdf/appel-A02.pdf", "📄 Voir PDF (A02)")</f>
        <v/>
      </c>
      <c r="X12" s="268">
        <f>HYPERLINK("https://wa.me/212661411823?text=%F0%9F%8F%A2%20%2ASYNDICAT%20R%C3%89SIDENCE%20BELLES%20LOGES%2A%0A%F0%9F%93%8D%20Rue%20Attabari%2C%20Quartier%20Les%20Princesses%2C%20Casablanca%0A%0ABonjour%20%2AGHALLAB%20HAKIM%2A%2C%0A%0AVeuillez%20trouver%20ci-dessous%20l%27appel%20de%20cotisations%20syndicales%20pour%20votre%20bien%20%28%2AAppartement%20N%C2%B02%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GHALLAB%20HAKIM_%0A%0AMerci%20pour%20votre%20pr%C3%A9cieuse%20collaboration.%0A%2ALe%20Bureau%20du%20Syndic%2A", "📲 Envoyer WhatsApp Direct")</f>
        <v/>
      </c>
      <c r="Y12" t="inlineStr">
        <is>
          <t>🏢 *SYNDICAT RÉSIDENCE BELLES LOGES*
📍 Rue Attabari, Quartier Les Princesses, Casablanca
Bonjour *GHALLAB HAKIM*,
Veuillez trouver ci-dessous l'appel de cotisations syndicales pour votre bien (*Appartement N°2*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GHALLAB HAKIM_
Merci pour votre précieuse collaboration.
*Le Bureau du Syndic*</t>
        </is>
      </c>
      <c r="Z12" s="267">
        <f>HYPERLINK("https://srbl.netlify.app/?client=A02", "👤 Espace Client (A02)")</f>
        <v/>
      </c>
    </row>
    <row r="13" ht="28.15" customHeight="1">
      <c r="B13" s="128" t="inlineStr">
        <is>
          <t>NADIL IMANE</t>
        </is>
      </c>
      <c r="C13" s="129" t="inlineStr">
        <is>
          <t>061908 2870</t>
        </is>
      </c>
      <c r="D13" s="134" t="n">
        <v>44881</v>
      </c>
      <c r="E13" s="219" t="n"/>
      <c r="F13" s="227" t="inlineStr">
        <is>
          <t>Appartement N°3</t>
        </is>
      </c>
      <c r="G13" s="55" t="n">
        <v>300</v>
      </c>
      <c r="H13" s="55" t="n">
        <v>300</v>
      </c>
      <c r="I13" s="55" t="n">
        <v>300</v>
      </c>
      <c r="J13" s="55" t="n">
        <v>300</v>
      </c>
      <c r="K13" s="55" t="n">
        <v>300</v>
      </c>
      <c r="L13" s="55" t="n">
        <v>300</v>
      </c>
      <c r="M13" s="55" t="n">
        <v>300</v>
      </c>
      <c r="N13" s="55" t="n">
        <v>300</v>
      </c>
      <c r="O13" s="55" t="n">
        <v>300</v>
      </c>
      <c r="P13" s="55" t="n">
        <v>300</v>
      </c>
      <c r="Q13" s="55" t="n">
        <v>300</v>
      </c>
      <c r="R13" s="55" t="n">
        <v>300</v>
      </c>
      <c r="S13" s="126">
        <f>SUM(G13:R13)</f>
        <v/>
      </c>
      <c r="T13" s="126">
        <f>-(3600-S13)</f>
        <v/>
      </c>
      <c r="U13" s="127">
        <f>'Cotisation 2025'!U13</f>
        <v/>
      </c>
      <c r="V13" s="127">
        <f>'Cotisation 2025'!V13</f>
        <v/>
      </c>
      <c r="W13" s="267">
        <f>HYPERLINK("https://srbl.netlify.app/pdf/appel-A03.pdf", "📄 Voir PDF (A03)")</f>
        <v/>
      </c>
      <c r="X13" s="268">
        <f>HYPERLINK("https://wa.me/212619082870?text=%F0%9F%8F%A2%20%2ASYNDICAT%20R%C3%89SIDENCE%20BELLES%20LOGES%2A%0A%F0%9F%93%8D%20Rue%20Attabari%2C%20Quartier%20Les%20Princesses%2C%20Casablanca%0A%0ABonjour%20%2ANADIL%20IMANE%2A%2C%0A%0AVeuillez%20trouver%20ci-dessous%20l%27appel%20de%20cotisations%20syndicales%20pour%20votre%20bien%20%28%2AAppartement%20N%C2%B03%2A%20/%20A03%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03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03%20-%20NADIL%20IMANE_%0A%0AMerci%20pour%20votre%20pr%C3%A9cieuse%20collaboration.%0A%2ALe%20Bureau%20du%20Syndic%2A", "📲 Envoyer WhatsApp Direct")</f>
        <v/>
      </c>
      <c r="Y13" t="inlineStr">
        <is>
          <t>🏢 *SYNDICAT RÉSIDENCE BELLES LOGES*
📍 Rue Attabari, Quartier Les Princesses, Casablanca
Bonjour *NADIL IMANE*,
Veuillez trouver ci-dessous l'appel de cotisations syndicales pour votre bien (*Appartement N°3* / A03) :
📅 *Période :* Année 2026
💰 *Total à régler :* *3600 DH*
📄 *Télécharger votre document officiel (PDF) :*
👉 https://srbl.netlify.app/pdf/appel-A03.pdf
🏦 *Coordonnées bancaires pour le virement :*
• *Bénéficiaire :* SYNDICAT RESIDENCE BELLES LOGES
• *Banque :* BMCE / BANK OF AFRICA
• *RIB :* `011 780 0000402100011545 25`
_Motif : A03 - NADIL IMANE_
Merci pour votre précieuse collaboration.
*Le Bureau du Syndic*</t>
        </is>
      </c>
      <c r="Z13" s="267">
        <f>HYPERLINK("https://srbl.netlify.app/?client=A03", "👤 Espace Client (A03)")</f>
        <v/>
      </c>
    </row>
    <row r="14" ht="27.6" customHeight="1">
      <c r="B14" s="128" t="inlineStr">
        <is>
          <t>INSAF BASSIL</t>
        </is>
      </c>
      <c r="C14" s="129" t="inlineStr">
        <is>
          <t>0661377432</t>
        </is>
      </c>
      <c r="D14" s="134" t="n">
        <v>44838</v>
      </c>
      <c r="E14" s="219" t="n"/>
      <c r="F14" s="227" t="inlineStr">
        <is>
          <t>Appartement N°4</t>
        </is>
      </c>
      <c r="G14" s="55" t="n">
        <v>300</v>
      </c>
      <c r="H14" s="55" t="n">
        <v>300</v>
      </c>
      <c r="I14" s="55" t="n">
        <v>300</v>
      </c>
      <c r="J14" s="55" t="n">
        <v>300</v>
      </c>
      <c r="K14" s="55" t="n">
        <v>300</v>
      </c>
      <c r="L14" s="55" t="n">
        <v>300</v>
      </c>
      <c r="M14" s="55" t="n">
        <v>300</v>
      </c>
      <c r="N14" s="55" t="n">
        <v>300</v>
      </c>
      <c r="O14" s="55" t="n">
        <v>300</v>
      </c>
      <c r="P14" s="55" t="n">
        <v>300</v>
      </c>
      <c r="Q14" s="55" t="n">
        <v>300</v>
      </c>
      <c r="R14" s="55" t="n">
        <v>1000</v>
      </c>
      <c r="S14" s="126">
        <f>SUM(G14:R14)</f>
        <v/>
      </c>
      <c r="T14" s="126">
        <f>-(3600-S14)</f>
        <v/>
      </c>
      <c r="U14" s="127">
        <f>'Cotisation 2025'!U14</f>
        <v/>
      </c>
      <c r="V14" s="127">
        <f>'Cotisation 2025'!V14</f>
        <v/>
      </c>
      <c r="W14" s="267">
        <f>HYPERLINK("https://srbl.netlify.app/pdf/appel-A04.pdf", "📄 Voir PDF (A04)")</f>
        <v/>
      </c>
      <c r="X14" s="268">
        <f>HYPERLINK("https://wa.me/212661377432?text=%F0%9F%8F%A2%20%2ASYNDICAT%20R%C3%89SIDENCE%20BELLES%20LOGES%2A%0A%F0%9F%93%8D%20Rue%20Attabari%2C%20Quartier%20Les%20Princesses%2C%20Casablanca%0A%0ABonjour%20%2AINSAF%20BASSIL%2A%2C%0A%0AVeuillez%20trouver%20ci-dessous%20l%27appel%20de%20cotisations%20syndicales%20pour%20votre%20bien%20%28%2AAppartement%20N%C2%B04%2A%20/%20A04%29%20%3A%0A%0A%F0%9F%93%85%20%2AP%C3%A9riode%20%3A%2A%20Ann%C3%A9e%202026%0A%F0%9F%92%B0%20%2ATotal%20%C3%A0%20r%C3%A9gler%20%3A%2A%20%2A5250%20DH%2A%20%28dont%20arri%C3%A9r%C3%A9s%20%3A%201650%20DH%29%0A%0A%F0%9F%93%84%20%2AT%C3%A9l%C3%A9charger%20votre%20document%20officiel%20%28PDF%29%20%3A%2A%0A%F0%9F%91%89%20https%3A//srbl.netlify.app/pdf/appel-A04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04%20-%20INSAF%20BASSIL_%0A%0AMerci%20pour%20votre%20pr%C3%A9cieuse%20collaboration.%0A%2ALe%20Bureau%20du%20Syndic%2A", "📲 Envoyer WhatsApp Direct")</f>
        <v/>
      </c>
      <c r="Y14" t="inlineStr">
        <is>
          <t>🏢 *SYNDICAT RÉSIDENCE BELLES LOGES*
📍 Rue Attabari, Quartier Les Princesses, Casablanca
Bonjour *INSAF BASSIL*,
Veuillez trouver ci-dessous l'appel de cotisations syndicales pour votre bien (*Appartement N°4* / A04) :
📅 *Période :* Année 2026
💰 *Total à régler :* *5250 DH* (dont arriérés : 1650 DH)
📄 *Télécharger votre document officiel (PDF) :*
👉 https://srbl.netlify.app/pdf/appel-A04.pdf
🏦 *Coordonnées bancaires pour le virement :*
• *Bénéficiaire :* SYNDICAT RESIDENCE BELLES LOGES
• *Banque :* BMCE / BANK OF AFRICA
• *RIB :* `011 780 0000402100011545 25`
_Motif : A04 - INSAF BASSIL_
Merci pour votre précieuse collaboration.
*Le Bureau du Syndic*</t>
        </is>
      </c>
      <c r="Z14" s="267">
        <f>HYPERLINK("https://srbl.netlify.app/?client=A04", "👤 Espace Client (A04)")</f>
        <v/>
      </c>
    </row>
    <row r="15" ht="24.6" customHeight="1">
      <c r="B15" s="135" t="inlineStr">
        <is>
          <t>MME TORRES HIND</t>
        </is>
      </c>
      <c r="C15" s="129" t="inlineStr">
        <is>
          <t>00447551433285</t>
        </is>
      </c>
      <c r="D15" s="134" t="n">
        <v>44833</v>
      </c>
      <c r="E15" s="219" t="n"/>
      <c r="F15" s="227" t="inlineStr">
        <is>
          <t>Appartement N°5</t>
        </is>
      </c>
      <c r="G15" s="55" t="n">
        <v>300</v>
      </c>
      <c r="H15" s="55" t="n">
        <v>300</v>
      </c>
      <c r="I15" s="55" t="n">
        <v>300</v>
      </c>
      <c r="J15" s="55" t="n">
        <v>300</v>
      </c>
      <c r="K15" s="55" t="n">
        <v>300</v>
      </c>
      <c r="L15" s="55" t="n">
        <v>300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126">
        <f>SUM(G15:R15)</f>
        <v/>
      </c>
      <c r="T15" s="126">
        <f>-(3600-S15)</f>
        <v/>
      </c>
      <c r="U15" s="127">
        <f>'Cotisation 2025'!U15</f>
        <v/>
      </c>
      <c r="V15" s="127">
        <f>'Cotisation 2025'!V15</f>
        <v/>
      </c>
      <c r="W15" s="267">
        <f>HYPERLINK("https://srbl.netlify.app/pdf/appel-A05.pdf", "📄 Voir PDF (A05)")</f>
        <v/>
      </c>
      <c r="X15" s="268">
        <f>HYPERLINK("https://wa.me/447551433285?text=%F0%9F%8F%A2%20%2ASYNDICAT%20R%C3%89SIDENCE%20BELLES%20LOGES%2A%0A%F0%9F%93%8D%20Rue%20Attabari%2C%20Quartier%20Les%20Princesses%2C%20Casablanca%0A%0ABonjour%20%2AMME%20TORRES%20HIND%2A%2C%0A%0AVeuillez%20trouver%20ci-dessous%20l%27appel%20de%20cotisations%20syndicales%20pour%20votre%20bien%20%28%2AAppartement%20N%C2%B05%2A%20/%20A05%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05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05%20-%20MME%20TORRES%20HIND_%0A%0AMerci%20pour%20votre%20pr%C3%A9cieuse%20collaboration.%0A%2ALe%20Bureau%20du%20Syndic%2A", "📲 Envoyer WhatsApp Direct")</f>
        <v/>
      </c>
      <c r="Y15" t="inlineStr">
        <is>
          <t>🏢 *SYNDICAT RÉSIDENCE BELLES LOGES*
📍 Rue Attabari, Quartier Les Princesses, Casablanca
Bonjour *MME TORRES HIND*,
Veuillez trouver ci-dessous l'appel de cotisations syndicales pour votre bien (*Appartement N°5* / A05) :
📅 *Période :* Année 2026
💰 *Total à régler :* *3600 DH*
📄 *Télécharger votre document officiel (PDF) :*
👉 https://srbl.netlify.app/pdf/appel-A05.pdf
🏦 *Coordonnées bancaires pour le virement :*
• *Bénéficiaire :* SYNDICAT RESIDENCE BELLES LOGES
• *Banque :* BMCE / BANK OF AFRICA
• *RIB :* `011 780 0000402100011545 25`
_Motif : A05 - MME TORRES HIND_
Merci pour votre précieuse collaboration.
*Le Bureau du Syndic*</t>
        </is>
      </c>
      <c r="Z15" s="267">
        <f>HYPERLINK("https://srbl.netlify.app/?client=A05", "👤 Espace Client (A05)")</f>
        <v/>
      </c>
    </row>
    <row r="16" ht="24.95" customHeight="1">
      <c r="B16" s="136" t="inlineStr">
        <is>
          <t xml:space="preserve">NMJ CAPITAL / BEN HADDOUCH YOUNES </t>
        </is>
      </c>
      <c r="C16" s="129" t="inlineStr">
        <is>
          <t>0669281802</t>
        </is>
      </c>
      <c r="D16" s="134" t="n">
        <v>45387</v>
      </c>
      <c r="E16" s="228" t="n"/>
      <c r="F16" s="227" t="inlineStr">
        <is>
          <t>Appartement N°6</t>
        </is>
      </c>
      <c r="G16" s="55" t="n">
        <v>300</v>
      </c>
      <c r="H16" s="55" t="n">
        <v>300</v>
      </c>
      <c r="I16" s="55" t="n">
        <v>300</v>
      </c>
      <c r="J16" s="55" t="n">
        <v>300</v>
      </c>
      <c r="K16" s="55" t="n">
        <v>300</v>
      </c>
      <c r="L16" s="55" t="n">
        <v>300</v>
      </c>
      <c r="M16" s="55" t="n">
        <v>300</v>
      </c>
      <c r="N16" s="55" t="n">
        <v>300</v>
      </c>
      <c r="O16" s="55" t="n">
        <v>300</v>
      </c>
      <c r="P16" s="55" t="n">
        <v>300</v>
      </c>
      <c r="Q16" s="55" t="n">
        <v>300</v>
      </c>
      <c r="R16" s="55" t="n">
        <v>300</v>
      </c>
      <c r="S16" s="126">
        <f>SUM(G16:R16)</f>
        <v/>
      </c>
      <c r="T16" s="126">
        <f>-(3600-S16)</f>
        <v/>
      </c>
      <c r="U16" s="127">
        <f>'Cotisation 2025'!U16</f>
        <v/>
      </c>
      <c r="V16" s="127">
        <f>'Cotisation 2025'!V16</f>
        <v/>
      </c>
      <c r="W16" s="267">
        <f>HYPERLINK("https://srbl.netlify.app/pdf/appel-A06.pdf", "📄 Voir PDF (A06)")</f>
        <v/>
      </c>
      <c r="X16" s="268">
        <f>HYPERLINK("https://wa.me/212669281802?text=%F0%9F%8F%A2%20%2ASYNDICAT%20R%C3%89SIDENCE%20BELLES%20LOGES%2A%0A%F0%9F%93%8D%20Rue%20Attabari%2C%20Quartier%20Les%20Princesses%2C%20Casablanca%0A%0ABonjour%20%2ANMJ%20CAPITAL%20/%20BEN%20HADDOUCH%20YOUNES%2A%2C%0A%0AVeuillez%20trouver%20ci-dessous%20l%27appel%20de%20cotisations%20syndicales%20pour%20votre%20bien%20%28%2AAppartement%20N%C2%B06%2A%20/%20A06%29%20%3A%0A%0A%F0%9F%93%85%20%2AP%C3%A9riode%20%3A%2A%20Ann%C3%A9e%202026%0A%F0%9F%92%B0%20%2ATotal%20%C3%A0%20r%C3%A9gler%20%3A%2A%20%2A4800%20DH%2A%20%28dont%20arri%C3%A9r%C3%A9s%20%3A%201200%20DH%29%0A%0A%F0%9F%93%84%20%2AT%C3%A9l%C3%A9charger%20votre%20document%20officiel%20%28PDF%29%20%3A%2A%0A%F0%9F%91%89%20https%3A//srbl.netlify.app/pdf/appel-A06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06%20-%20NMJ%20CAPITAL%20/%20BEN%20HADDOUCH%20YOUNES_%0A%0AMerci%20pour%20votre%20pr%C3%A9cieuse%20collaboration.%0A%2ALe%20Bureau%20du%20Syndic%2A", "📲 Envoyer WhatsApp Direct")</f>
        <v/>
      </c>
      <c r="Y16" t="inlineStr">
        <is>
          <t>🏢 *SYNDICAT RÉSIDENCE BELLES LOGES*
📍 Rue Attabari, Quartier Les Princesses, Casablanca
Bonjour *NMJ CAPITAL / BEN HADDOUCH YOUNES*,
Veuillez trouver ci-dessous l'appel de cotisations syndicales pour votre bien (*Appartement N°6* / A06) :
📅 *Période :* Année 2026
💰 *Total à régler :* *4800 DH* (dont arriérés : 1200 DH)
📄 *Télécharger votre document officiel (PDF) :*
👉 https://srbl.netlify.app/pdf/appel-A06.pdf
🏦 *Coordonnées bancaires pour le virement :*
• *Bénéficiaire :* SYNDICAT RESIDENCE BELLES LOGES
• *Banque :* BMCE / BANK OF AFRICA
• *RIB :* `011 780 0000402100011545 25`
_Motif : A06 - NMJ CAPITAL / BEN HADDOUCH YOUNES_
Merci pour votre précieuse collaboration.
*Le Bureau du Syndic*</t>
        </is>
      </c>
      <c r="Z16" s="267">
        <f>HYPERLINK("https://srbl.netlify.app/?client=A06", "👤 Espace Client (A06)")</f>
        <v/>
      </c>
    </row>
    <row r="17" ht="24.95" customHeight="1">
      <c r="B17" s="131" t="inlineStr">
        <is>
          <t>BENYAHYA IHSAN</t>
        </is>
      </c>
      <c r="C17" s="129" t="inlineStr">
        <is>
          <t>0662773532</t>
        </is>
      </c>
      <c r="D17" s="134" t="n">
        <v>44958</v>
      </c>
      <c r="E17" s="201" t="n">
        <v>2</v>
      </c>
      <c r="F17" s="227" t="inlineStr">
        <is>
          <t>Appartement N°7</t>
        </is>
      </c>
      <c r="G17" s="55" t="n">
        <v>300</v>
      </c>
      <c r="H17" s="55" t="n">
        <v>300</v>
      </c>
      <c r="I17" s="55" t="n">
        <v>300</v>
      </c>
      <c r="J17" s="55" t="n">
        <v>300</v>
      </c>
      <c r="K17" s="55" t="n">
        <v>300</v>
      </c>
      <c r="L17" s="55" t="n">
        <v>300</v>
      </c>
      <c r="M17" s="55" t="n">
        <v>300</v>
      </c>
      <c r="N17" s="55" t="n">
        <v>300</v>
      </c>
      <c r="O17" s="55" t="n">
        <v>300</v>
      </c>
      <c r="P17" s="55" t="n">
        <v>300</v>
      </c>
      <c r="Q17" s="55" t="n">
        <v>300</v>
      </c>
      <c r="R17" s="55" t="n">
        <v>300</v>
      </c>
      <c r="S17" s="126">
        <f>SUM(G17:R17)</f>
        <v/>
      </c>
      <c r="T17" s="126">
        <f>-(3600-S17)</f>
        <v/>
      </c>
      <c r="U17" s="127">
        <f>'Cotisation 2025'!U17</f>
        <v/>
      </c>
      <c r="V17" s="127">
        <f>'Cotisation 2025'!V17</f>
        <v/>
      </c>
      <c r="W17" s="267">
        <f>HYPERLINK("https://srbl.netlify.app/pdf/appel-A07.pdf", "📄 Voir PDF (A07)")</f>
        <v/>
      </c>
      <c r="X17" s="268">
        <f>HYPERLINK("https://wa.me/212662773532?text=%F0%9F%8F%A2%20%2ASYNDICAT%20R%C3%89SIDENCE%20BELLES%20LOGES%2A%0A%F0%9F%93%8D%20Rue%20Attabari%2C%20Quartier%20Les%20Princesses%2C%20Casablanca%0A%0ABonjour%20%2ABENYAHYA%20IHSAN%2A%2C%0A%0AVeuillez%20trouver%20ci-dessous%20l%27appel%20de%20cotisations%20syndicales%20pour%20votre%20bien%20%28%2AAppartement%20N%C2%B07%2A%20/%20A07%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07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07%20-%20BENYAHYA%20IHSAN_%0A%0AMerci%20pour%20votre%20pr%C3%A9cieuse%20collaboration.%0A%2ALe%20Bureau%20du%20Syndic%2A", "📲 Envoyer WhatsApp Direct")</f>
        <v/>
      </c>
      <c r="Y17" t="inlineStr">
        <is>
          <t>🏢 *SYNDICAT RÉSIDENCE BELLES LOGES*
📍 Rue Attabari, Quartier Les Princesses, Casablanca
Bonjour *BENYAHYA IHSAN*,
Veuillez trouver ci-dessous l'appel de cotisations syndicales pour votre bien (*Appartement N°7* / A07) :
📅 *Période :* Année 2026
💰 *Total à régler :* *3600 DH*
📄 *Télécharger votre document officiel (PDF) :*
👉 https://srbl.netlify.app/pdf/appel-A07.pdf
🏦 *Coordonnées bancaires pour le virement :*
• *Bénéficiaire :* SYNDICAT RESIDENCE BELLES LOGES
• *Banque :* BMCE / BANK OF AFRICA
• *RIB :* `011 780 0000402100011545 25`
_Motif : A07 - BENYAHYA IHSAN_
Merci pour votre précieuse collaboration.
*Le Bureau du Syndic*</t>
        </is>
      </c>
      <c r="Z17" s="267">
        <f>HYPERLINK("https://srbl.netlify.app/?client=A07", "👤 Espace Client (A07)")</f>
        <v/>
      </c>
    </row>
    <row r="18" ht="24.75" customHeight="1">
      <c r="A18" t="inlineStr">
        <is>
          <t>Q</t>
        </is>
      </c>
      <c r="B18" s="128" t="inlineStr">
        <is>
          <t>MR LAHBABI NIZAR (COR</t>
        </is>
      </c>
      <c r="C18" s="129" t="inlineStr">
        <is>
          <t>0661286870</t>
        </is>
      </c>
      <c r="D18" s="178" t="n">
        <v>44813</v>
      </c>
      <c r="E18" s="219" t="n"/>
      <c r="F18" s="227" t="inlineStr">
        <is>
          <t>Appartement N°8</t>
        </is>
      </c>
      <c r="G18" s="55" t="n">
        <v>300</v>
      </c>
      <c r="H18" s="55" t="n">
        <v>300</v>
      </c>
      <c r="I18" s="55" t="n">
        <v>300</v>
      </c>
      <c r="J18" s="55" t="n">
        <v>300</v>
      </c>
      <c r="K18" s="55" t="n">
        <v>300</v>
      </c>
      <c r="L18" s="55" t="n">
        <v>300</v>
      </c>
      <c r="M18" s="55" t="n">
        <v>300</v>
      </c>
      <c r="N18" s="55" t="n">
        <v>300</v>
      </c>
      <c r="O18" s="55" t="n">
        <v>300</v>
      </c>
      <c r="P18" s="55" t="n">
        <v>300</v>
      </c>
      <c r="Q18" s="55" t="n">
        <v>300</v>
      </c>
      <c r="R18" s="55" t="n">
        <v>300</v>
      </c>
      <c r="S18" s="126">
        <f>SUM(G18:R18)</f>
        <v/>
      </c>
      <c r="T18" s="126">
        <f>-(3600-S18)</f>
        <v/>
      </c>
      <c r="U18" s="127">
        <f>'Cotisation 2025'!U18</f>
        <v/>
      </c>
      <c r="V18" s="127">
        <f>'Cotisation 2025'!V18</f>
        <v/>
      </c>
      <c r="W18" s="267">
        <f>HYPERLINK("https://srbl.netlify.app/pdf/appel-A08.pdf", "📄 Voir PDF (A08)")</f>
        <v/>
      </c>
      <c r="X18" s="268">
        <f>HYPERLINK("https://wa.me/212661286870?text=%F0%9F%8F%A2%20%2ASYNDICAT%20R%C3%89SIDENCE%20BELLES%20LOGES%2A%0A%F0%9F%93%8D%20Rue%20Attabari%2C%20Quartier%20Les%20Princesses%2C%20Casablanca%0A%0ABonjour%20%2AMR%20LAHBABI%20NIZAR%20%28COR%2A%2C%0A%0AVeuillez%20trouver%20ci-dessous%20l%27appel%20de%20cotisations%20syndicales%20pour%20votre%20bien%20%28%2AAppartement%20N%C2%B08%2A%20/%20A08%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08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08%20-%20MR%20LAHBABI%20NIZAR%20%28COR_%0A%0AMerci%20pour%20votre%20pr%C3%A9cieuse%20collaboration.%0A%2ALe%20Bureau%20du%20Syndic%2A", "📲 Envoyer WhatsApp Direct")</f>
        <v/>
      </c>
      <c r="Y18" t="inlineStr">
        <is>
          <t>🏢 *SYNDICAT RÉSIDENCE BELLES LOGES*
📍 Rue Attabari, Quartier Les Princesses, Casablanca
Bonjour *MR LAHBABI NIZAR (COR*,
Veuillez trouver ci-dessous l'appel de cotisations syndicales pour votre bien (*Appartement N°8* / A08) :
📅 *Période :* Année 2026
💰 *Total à régler :* *3600 DH*
📄 *Télécharger votre document officiel (PDF) :*
👉 https://srbl.netlify.app/pdf/appel-A08.pdf
🏦 *Coordonnées bancaires pour le virement :*
• *Bénéficiaire :* SYNDICAT RESIDENCE BELLES LOGES
• *Banque :* BMCE / BANK OF AFRICA
• *RIB :* `011 780 0000402100011545 25`
_Motif : A08 - MR LAHBABI NIZAR (COR_
Merci pour votre précieuse collaboration.
*Le Bureau du Syndic*</t>
        </is>
      </c>
      <c r="Z18" s="267">
        <f>HYPERLINK("https://srbl.netlify.app/?client=A08", "👤 Espace Client (A08)")</f>
        <v/>
      </c>
    </row>
    <row r="19" ht="24.95" customHeight="1">
      <c r="B19" s="128" t="inlineStr">
        <is>
          <t>ASRAGUIS ABDELGHANI</t>
        </is>
      </c>
      <c r="C19" s="129" t="inlineStr">
        <is>
          <t>0661936094</t>
        </is>
      </c>
      <c r="D19" s="134" t="n">
        <v>44896</v>
      </c>
      <c r="E19" s="219" t="n"/>
      <c r="F19" s="227" t="inlineStr">
        <is>
          <t>Appartement N°9</t>
        </is>
      </c>
      <c r="G19" s="55" t="n">
        <v>300</v>
      </c>
      <c r="H19" s="55" t="n">
        <v>300</v>
      </c>
      <c r="I19" s="55" t="n">
        <v>300</v>
      </c>
      <c r="J19" s="55" t="n">
        <v>300</v>
      </c>
      <c r="K19" s="55" t="n">
        <v>300</v>
      </c>
      <c r="L19" s="55" t="n">
        <v>300</v>
      </c>
      <c r="M19" s="55" t="n">
        <v>300</v>
      </c>
      <c r="N19" s="55" t="n">
        <v>300</v>
      </c>
      <c r="O19" s="55" t="n">
        <v>300</v>
      </c>
      <c r="P19" s="55" t="n">
        <v>300</v>
      </c>
      <c r="Q19" s="55" t="n">
        <v>300</v>
      </c>
      <c r="R19" s="55" t="n">
        <v>300</v>
      </c>
      <c r="S19" s="126">
        <f>SUM(G19:R19)</f>
        <v/>
      </c>
      <c r="T19" s="126">
        <f>-(3600-S19)</f>
        <v/>
      </c>
      <c r="U19" s="127">
        <f>'Cotisation 2025'!U19</f>
        <v/>
      </c>
      <c r="V19" s="127">
        <f>'Cotisation 2025'!V19</f>
        <v/>
      </c>
      <c r="W19" s="267">
        <f>HYPERLINK("https://srbl.netlify.app/pdf/appel-A09.pdf", "📄 Voir PDF (A09)")</f>
        <v/>
      </c>
      <c r="X19" s="268">
        <f>HYPERLINK("https://wa.me/212661936094?text=%F0%9F%8F%A2%20%2ASYNDICAT%20R%C3%89SIDENCE%20BELLES%20LOGES%2A%0A%F0%9F%93%8D%20Rue%20Attabari%2C%20Quartier%20Les%20Princesses%2C%20Casablanca%0A%0ABonjour%20%2AASRAGUIS%20ABDELGHANI%2A%2C%0A%0AVeuillez%20trouver%20ci-dessous%20l%27appel%20de%20cotisations%20syndicales%20pour%20votre%20bien%20%28%2AAppartement%20N%C2%B09%2A%20/%20A09%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09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09%20-%20ASRAGUIS%20ABDELGHANI_%0A%0AMerci%20pour%20votre%20pr%C3%A9cieuse%20collaboration.%0A%2ALe%20Bureau%20du%20Syndic%2A", "📲 Envoyer WhatsApp Direct")</f>
        <v/>
      </c>
      <c r="Y19" t="inlineStr">
        <is>
          <t>🏢 *SYNDICAT RÉSIDENCE BELLES LOGES*
📍 Rue Attabari, Quartier Les Princesses, Casablanca
Bonjour *ASRAGUIS ABDELGHANI*,
Veuillez trouver ci-dessous l'appel de cotisations syndicales pour votre bien (*Appartement N°9* / A09) :
📅 *Période :* Année 2026
💰 *Total à régler :* *3600 DH*
📄 *Télécharger votre document officiel (PDF) :*
👉 https://srbl.netlify.app/pdf/appel-A09.pdf
🏦 *Coordonnées bancaires pour le virement :*
• *Bénéficiaire :* SYNDICAT RESIDENCE BELLES LOGES
• *Banque :* BMCE / BANK OF AFRICA
• *RIB :* `011 780 0000402100011545 25`
_Motif : A09 - ASRAGUIS ABDELGHANI_
Merci pour votre précieuse collaboration.
*Le Bureau du Syndic*</t>
        </is>
      </c>
      <c r="Z19" s="267">
        <f>HYPERLINK("https://srbl.netlify.app/?client=A09", "👤 Espace Client (A09)")</f>
        <v/>
      </c>
    </row>
    <row r="20" ht="24.95" customHeight="1">
      <c r="B20" s="137" t="inlineStr">
        <is>
          <t>GHALLAB MOUHSSINE</t>
        </is>
      </c>
      <c r="C20" s="129" t="inlineStr">
        <is>
          <t>0661157305</t>
        </is>
      </c>
      <c r="D20" s="134" t="n">
        <v>44958</v>
      </c>
      <c r="E20" s="219" t="n"/>
      <c r="F20" s="229" t="inlineStr">
        <is>
          <t>Appartement N°10</t>
        </is>
      </c>
      <c r="G20" s="55" t="n">
        <v>300</v>
      </c>
      <c r="H20" s="55" t="n">
        <v>300</v>
      </c>
      <c r="I20" s="55" t="n">
        <v>300</v>
      </c>
      <c r="J20" s="55" t="n">
        <v>300</v>
      </c>
      <c r="K20" s="55" t="n">
        <v>300</v>
      </c>
      <c r="L20" s="55" t="n">
        <v>300</v>
      </c>
      <c r="M20" s="55" t="n">
        <v>300</v>
      </c>
      <c r="N20" s="55" t="n">
        <v>300</v>
      </c>
      <c r="O20" s="55" t="n">
        <v>300</v>
      </c>
      <c r="P20" s="55" t="n">
        <v>0</v>
      </c>
      <c r="Q20" s="55" t="n">
        <v>0</v>
      </c>
      <c r="R20" s="55" t="n">
        <v>0</v>
      </c>
      <c r="S20" s="126">
        <f>SUM(G20:R20)</f>
        <v/>
      </c>
      <c r="T20" s="126">
        <f>-(3600-S20)</f>
        <v/>
      </c>
      <c r="U20" s="127">
        <f>'Cotisation 2025'!U20</f>
        <v/>
      </c>
      <c r="V20" s="127">
        <f>'Cotisation 2025'!V20</f>
        <v/>
      </c>
      <c r="W20" s="267">
        <f>HYPERLINK("https://srbl.netlify.app/pdf/appel-A10.pdf", "📄 Voir PDF (A10)")</f>
        <v/>
      </c>
      <c r="X20" s="268">
        <f>HYPERLINK("https://wa.me/212661157305?text=%F0%9F%8F%A2%20%2ASYNDICAT%20R%C3%89SIDENCE%20BELLES%20LOGES%2A%0A%F0%9F%93%8D%20Rue%20Attabari%2C%20Quartier%20Les%20Princesses%2C%20Casablanca%0A%0ABonjour%20%2AGHALLAB%20MOUHSSINE%2A%2C%0A%0AVeuillez%20trouver%20ci-dessous%20l%27appel%20de%20cotisations%20syndicales%20pour%20votre%20bien%20%28%2AAppartement%20N%C2%B010%2A%20/%20A10%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10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10%20-%20GHALLAB%20MOUHSSINE_%0A%0AMerci%20pour%20votre%20pr%C3%A9cieuse%20collaboration.%0A%2ALe%20Bureau%20du%20Syndic%2A", "📲 Envoyer WhatsApp Direct")</f>
        <v/>
      </c>
      <c r="Y20" t="inlineStr">
        <is>
          <t>🏢 *SYNDICAT RÉSIDENCE BELLES LOGES*
📍 Rue Attabari, Quartier Les Princesses, Casablanca
Bonjour *GHALLAB MOUHSSINE*,
Veuillez trouver ci-dessous l'appel de cotisations syndicales pour votre bien (*Appartement N°10* / A10) :
📅 *Période :* Année 2026
💰 *Total à régler :* *3600 DH*
📄 *Télécharger votre document officiel (PDF) :*
👉 https://srbl.netlify.app/pdf/appel-A10.pdf
🏦 *Coordonnées bancaires pour le virement :*
• *Bénéficiaire :* SYNDICAT RESIDENCE BELLES LOGES
• *Banque :* BMCE / BANK OF AFRICA
• *RIB :* `011 780 0000402100011545 25`
_Motif : A10 - GHALLAB MOUHSSINE_
Merci pour votre précieuse collaboration.
*Le Bureau du Syndic*</t>
        </is>
      </c>
      <c r="Z20" s="267">
        <f>HYPERLINK("https://srbl.netlify.app/?client=A10", "👤 Espace Client (A10)")</f>
        <v/>
      </c>
    </row>
    <row r="21" ht="24.95" customHeight="1">
      <c r="B21" s="135" t="inlineStr">
        <is>
          <t>MME TORRES HIND</t>
        </is>
      </c>
      <c r="C21" s="129" t="inlineStr">
        <is>
          <t>00447551433285</t>
        </is>
      </c>
      <c r="D21" s="134" t="n">
        <v>44833</v>
      </c>
      <c r="E21" s="219" t="n"/>
      <c r="F21" s="227" t="inlineStr">
        <is>
          <t>Appartement N°11</t>
        </is>
      </c>
      <c r="G21" s="55" t="n">
        <v>300</v>
      </c>
      <c r="H21" s="55" t="n">
        <v>300</v>
      </c>
      <c r="I21" s="55" t="n">
        <v>300</v>
      </c>
      <c r="J21" s="55" t="n">
        <v>300</v>
      </c>
      <c r="K21" s="55" t="n">
        <v>300</v>
      </c>
      <c r="L21" s="55" t="n">
        <v>300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126">
        <f>SUM(G21:R21)</f>
        <v/>
      </c>
      <c r="T21" s="126">
        <f>-(3600-S21)</f>
        <v/>
      </c>
      <c r="U21" s="127">
        <f>'Cotisation 2025'!U21</f>
        <v/>
      </c>
      <c r="V21" s="127">
        <f>'Cotisation 2025'!V21</f>
        <v/>
      </c>
      <c r="W21" s="267">
        <f>HYPERLINK("https://srbl.netlify.app/pdf/appel-A11.pdf", "📄 Voir PDF (A11)")</f>
        <v/>
      </c>
      <c r="X21" s="268">
        <f>HYPERLINK("https://wa.me/447551433285?text=%F0%9F%8F%A2%20%2ASYNDICAT%20R%C3%89SIDENCE%20BELLES%20LOGES%2A%0A%F0%9F%93%8D%20Rue%20Attabari%2C%20Quartier%20Les%20Princesses%2C%20Casablanca%0A%0ABonjour%20%2AMME%20TORRES%20HIND%2A%2C%0A%0AVeuillez%20trouver%20ci-dessous%20l%27appel%20de%20cotisations%20syndicales%20pour%20votre%20bien%20%28%2AAppartement%20N%C2%B011%2A%20/%20A11%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11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11%20-%20MME%20TORRES%20HIND_%0A%0AMerci%20pour%20votre%20pr%C3%A9cieuse%20collaboration.%0A%2ALe%20Bureau%20du%20Syndic%2A", "📲 Envoyer WhatsApp Direct")</f>
        <v/>
      </c>
      <c r="Y21" t="inlineStr">
        <is>
          <t>🏢 *SYNDICAT RÉSIDENCE BELLES LOGES*
📍 Rue Attabari, Quartier Les Princesses, Casablanca
Bonjour *MME TORRES HIND*,
Veuillez trouver ci-dessous l'appel de cotisations syndicales pour votre bien (*Appartement N°11* / A11) :
📅 *Période :* Année 2026
💰 *Total à régler :* *3600 DH*
📄 *Télécharger votre document officiel (PDF) :*
👉 https://srbl.netlify.app/pdf/appel-A11.pdf
🏦 *Coordonnées bancaires pour le virement :*
• *Bénéficiaire :* SYNDICAT RESIDENCE BELLES LOGES
• *Banque :* BMCE / BANK OF AFRICA
• *RIB :* `011 780 0000402100011545 25`
_Motif : A11 - MME TORRES HIND_
Merci pour votre précieuse collaboration.
*Le Bureau du Syndic*</t>
        </is>
      </c>
      <c r="Z21" s="267">
        <f>HYPERLINK("https://srbl.netlify.app/?client=A11", "👤 Espace Client (A11)")</f>
        <v/>
      </c>
    </row>
    <row r="22" ht="24" customHeight="1">
      <c r="B22" s="172" t="inlineStr">
        <is>
          <t>ELMOSTAFA EL GUESSAB</t>
        </is>
      </c>
      <c r="C22" s="129" t="inlineStr">
        <is>
          <t>0705262264</t>
        </is>
      </c>
      <c r="D22" s="134" t="n">
        <v>45139</v>
      </c>
      <c r="E22" s="228" t="n"/>
      <c r="F22" s="227" t="inlineStr">
        <is>
          <t>Appartement N°12</t>
        </is>
      </c>
      <c r="G22" s="55" t="n">
        <v>900</v>
      </c>
      <c r="H22" s="55" t="n">
        <v>300</v>
      </c>
      <c r="I22" s="55" t="n">
        <v>300</v>
      </c>
      <c r="J22" s="55" t="n">
        <v>300</v>
      </c>
      <c r="K22" s="55" t="n">
        <v>300</v>
      </c>
      <c r="L22" s="55" t="n">
        <v>300</v>
      </c>
      <c r="M22" s="55" t="n">
        <v>300</v>
      </c>
      <c r="N22" s="55" t="n">
        <v>300</v>
      </c>
      <c r="O22" s="55" t="n">
        <v>300</v>
      </c>
      <c r="P22" s="55" t="n">
        <v>300</v>
      </c>
      <c r="Q22" s="55" t="n">
        <v>300</v>
      </c>
      <c r="R22" s="55" t="n">
        <v>300</v>
      </c>
      <c r="S22" s="126">
        <f>SUM(G22:R22)</f>
        <v/>
      </c>
      <c r="T22" s="126">
        <f>-(3600-S22)</f>
        <v/>
      </c>
      <c r="U22" s="127">
        <f>'Cotisation 2025'!U22</f>
        <v/>
      </c>
      <c r="V22" s="127">
        <f>'Cotisation 2025'!V22</f>
        <v/>
      </c>
      <c r="W22" s="267">
        <f>HYPERLINK("https://srbl.netlify.app/pdf/appel-A01.pdf", "📄 Voir PDF (A01)")</f>
        <v/>
      </c>
      <c r="X22" s="268">
        <f>HYPERLINK("https://wa.me/212705262264?text=%F0%9F%8F%A2%20%2ASYNDICAT%20R%C3%89SIDENCE%20BELLES%20LOGES%2A%0A%F0%9F%93%8D%20Rue%20Attabari%2C%20Quartier%20Les%20Princesses%2C%20Casablanca%0A%0ABonjour%20%2AELMOSTAFA%20EL%20GUESSAB%2A%2C%0A%0AVeuillez%20trouver%20ci-dessous%20l%27appel%20de%20cotisations%20syndicales%20pour%20votre%20bien%20%28%2AAppartement%20N%C2%B012%2A%20/%20A01%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01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01%20-%20ELMOSTAFA%20EL%20GUESSAB_%0A%0AMerci%20pour%20votre%20pr%C3%A9cieuse%20collaboration.%0A%2ALe%20Bureau%20du%20Syndic%2A", "📲 Envoyer WhatsApp Direct")</f>
        <v/>
      </c>
      <c r="Y22" t="inlineStr">
        <is>
          <t>🏢 *SYNDICAT RÉSIDENCE BELLES LOGES*
📍 Rue Attabari, Quartier Les Princesses, Casablanca
Bonjour *ELMOSTAFA EL GUESSAB*,
Veuillez trouver ci-dessous l'appel de cotisations syndicales pour votre bien (*Appartement N°12* / A01) :
📅 *Période :* Année 2026
💰 *Total à régler :* *3600 DH*
📄 *Télécharger votre document officiel (PDF) :*
👉 https://srbl.netlify.app/pdf/appel-A01.pdf
🏦 *Coordonnées bancaires pour le virement :*
• *Bénéficiaire :* SYNDICAT RESIDENCE BELLES LOGES
• *Banque :* BMCE / BANK OF AFRICA
• *RIB :* `011 780 0000402100011545 25`
_Motif : A01 - ELMOSTAFA EL GUESSAB_
Merci pour votre précieuse collaboration.
*Le Bureau du Syndic*</t>
        </is>
      </c>
      <c r="Z22" s="267">
        <f>HYPERLINK("https://srbl.netlify.app/?client=A01", "👤 Espace Client (A01)")</f>
        <v/>
      </c>
    </row>
    <row r="23" ht="24.95" customHeight="1">
      <c r="B23" s="138" t="inlineStr">
        <is>
          <t xml:space="preserve">DOUKKALI BOUALAM ZINEB / ABDELHADI NADIFI </t>
        </is>
      </c>
      <c r="C23" s="139" t="inlineStr">
        <is>
          <t>0661214852 / 0664908843</t>
        </is>
      </c>
      <c r="D23" s="134" t="n">
        <v>44881</v>
      </c>
      <c r="E23" s="201" t="n">
        <v>3</v>
      </c>
      <c r="F23" s="227" t="inlineStr">
        <is>
          <t>Appartement N°13</t>
        </is>
      </c>
      <c r="G23" s="55" t="n">
        <v>300</v>
      </c>
      <c r="H23" s="55" t="n">
        <v>300</v>
      </c>
      <c r="I23" s="55" t="n">
        <v>300</v>
      </c>
      <c r="J23" s="55" t="n">
        <v>300</v>
      </c>
      <c r="K23" s="55" t="n">
        <v>300</v>
      </c>
      <c r="L23" s="55" t="n">
        <v>300</v>
      </c>
      <c r="M23" s="55" t="n">
        <v>300</v>
      </c>
      <c r="N23" s="55" t="n">
        <v>300</v>
      </c>
      <c r="O23" s="55" t="n">
        <v>300</v>
      </c>
      <c r="P23" s="55" t="n">
        <v>300</v>
      </c>
      <c r="Q23" s="55" t="n">
        <v>300</v>
      </c>
      <c r="R23" s="55" t="n">
        <v>300</v>
      </c>
      <c r="S23" s="126">
        <f>SUM(G23:R23)</f>
        <v/>
      </c>
      <c r="T23" s="126">
        <f>-(3600-S23)</f>
        <v/>
      </c>
      <c r="U23" s="127">
        <f>'Cotisation 2025'!U23</f>
        <v/>
      </c>
      <c r="V23" s="127">
        <f>'Cotisation 2025'!V23</f>
        <v/>
      </c>
      <c r="W23" s="267">
        <f>HYPERLINK("https://srbl.netlify.app/pdf/appel-A13.pdf", "📄 Voir PDF (A13)")</f>
        <v/>
      </c>
      <c r="X23" s="268">
        <f>HYPERLINK("https://wa.me/06612148520664908843?text=%F0%9F%8F%A2%20%2ASYNDICAT%20R%C3%89SIDENCE%20BELLES%20LOGES%2A%0A%F0%9F%93%8D%20Rue%20Attabari%2C%20Quartier%20Les%20Princesses%2C%20Casablanca%0A%0ABonjour%20%2ADOUKKALI%20BOUALAM%20ZINEB%20/%20ABDELHADI%20NADIFI%2A%2C%0A%0AVeuillez%20trouver%20ci-dessous%20l%27appel%20de%20cotisations%20syndicales%20pour%20votre%20bien%20%28%2AAppartement%20N%C2%B013%2A%20/%20A13%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13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13%20-%20DOUKKALI%20BOUALAM%20ZINEB%20/%20ABDELHADI%20NADIFI_%0A%0AMerci%20pour%20votre%20pr%C3%A9cieuse%20collaboration.%0A%2ALe%20Bureau%20du%20Syndic%2A", "📲 Envoyer WhatsApp Direct")</f>
        <v/>
      </c>
      <c r="Y23" t="inlineStr">
        <is>
          <t>🏢 *SYNDICAT RÉSIDENCE BELLES LOGES*
📍 Rue Attabari, Quartier Les Princesses, Casablanca
Bonjour *DOUKKALI BOUALAM ZINEB / ABDELHADI NADIFI*,
Veuillez trouver ci-dessous l'appel de cotisations syndicales pour votre bien (*Appartement N°13* / A13) :
📅 *Période :* Année 2026
💰 *Total à régler :* *3600 DH*
📄 *Télécharger votre document officiel (PDF) :*
👉 https://srbl.netlify.app/pdf/appel-A13.pdf
🏦 *Coordonnées bancaires pour le virement :*
• *Bénéficiaire :* SYNDICAT RESIDENCE BELLES LOGES
• *Banque :* BMCE / BANK OF AFRICA
• *RIB :* `011 780 0000402100011545 25`
_Motif : A13 - DOUKKALI BOUALAM ZINEB / ABDELHADI NADIFI_
Merci pour votre précieuse collaboration.
*Le Bureau du Syndic*</t>
        </is>
      </c>
      <c r="Z23" s="267">
        <f>HYPERLINK("https://srbl.netlify.app/?client=A13", "👤 Espace Client (A13)")</f>
        <v/>
      </c>
    </row>
    <row r="24" ht="24.75" customFormat="1" customHeight="1" s="34">
      <c r="B24" s="140" t="inlineStr">
        <is>
          <t>GHALLAB HAMID</t>
        </is>
      </c>
      <c r="C24" s="139" t="inlineStr">
        <is>
          <t>0661311165 / 0666422524</t>
        </is>
      </c>
      <c r="D24" s="142" t="n">
        <v>44958</v>
      </c>
      <c r="E24" s="219" t="n"/>
      <c r="F24" s="230" t="inlineStr">
        <is>
          <t>Appartement N°14</t>
        </is>
      </c>
      <c r="G24" s="55" t="n">
        <v>300</v>
      </c>
      <c r="H24" s="55" t="n">
        <v>300</v>
      </c>
      <c r="I24" s="55" t="n">
        <v>300</v>
      </c>
      <c r="J24" s="55" t="n">
        <v>300</v>
      </c>
      <c r="K24" s="55" t="n">
        <v>300</v>
      </c>
      <c r="L24" s="55" t="n">
        <v>300</v>
      </c>
      <c r="M24" s="55" t="n">
        <v>300</v>
      </c>
      <c r="N24" s="55" t="n">
        <v>300</v>
      </c>
      <c r="O24" s="55" t="n">
        <v>300</v>
      </c>
      <c r="P24" s="55" t="n">
        <v>300</v>
      </c>
      <c r="Q24" s="55" t="n">
        <v>300</v>
      </c>
      <c r="R24" s="55" t="n">
        <v>300</v>
      </c>
      <c r="S24" s="126">
        <f>SUM(G24:R24)</f>
        <v/>
      </c>
      <c r="T24" s="126">
        <f>-(3600-S24)</f>
        <v/>
      </c>
      <c r="U24" s="127">
        <f>'Cotisation 2025'!U24</f>
        <v/>
      </c>
      <c r="V24" s="127">
        <f>'Cotisation 2025'!V24</f>
        <v/>
      </c>
      <c r="W24" s="267">
        <f>HYPERLINK("https://srbl.netlify.app/pdf/appel-A14.pdf", "📄 Voir PDF (A14)")</f>
        <v/>
      </c>
      <c r="X24" s="268">
        <f>HYPERLINK("https://wa.me/06613111650666422524?text=%F0%9F%8F%A2%20%2ASYNDICAT%20R%C3%89SIDENCE%20BELLES%20LOGES%2A%0A%F0%9F%93%8D%20Rue%20Attabari%2C%20Quartier%20Les%20Princesses%2C%20Casablanca%0A%0ABonjour%20%2AGHALLAB%20HAMID%2A%2C%0A%0AVeuillez%20trouver%20ci-dessous%20l%27appel%20de%20cotisations%20syndicales%20pour%20votre%20bien%20%28%2AAppartement%20N%C2%B014%2A%20/%20A14%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14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14%20-%20GHALLAB%20HAMID_%0A%0AMerci%20pour%20votre%20pr%C3%A9cieuse%20collaboration.%0A%2ALe%20Bureau%20du%20Syndic%2A", "📲 Envoyer WhatsApp Direct")</f>
        <v/>
      </c>
      <c r="Y24" t="inlineStr">
        <is>
          <t>🏢 *SYNDICAT RÉSIDENCE BELLES LOGES*
📍 Rue Attabari, Quartier Les Princesses, Casablanca
Bonjour *GHALLAB HAMID*,
Veuillez trouver ci-dessous l'appel de cotisations syndicales pour votre bien (*Appartement N°14* / A14) :
📅 *Période :* Année 2026
💰 *Total à régler :* *3600 DH*
📄 *Télécharger votre document officiel (PDF) :*
👉 https://srbl.netlify.app/pdf/appel-A14.pdf
🏦 *Coordonnées bancaires pour le virement :*
• *Bénéficiaire :* SYNDICAT RESIDENCE BELLES LOGES
• *Banque :* BMCE / BANK OF AFRICA
• *RIB :* `011 780 0000402100011545 25`
_Motif : A14 - GHALLAB HAMID_
Merci pour votre précieuse collaboration.
*Le Bureau du Syndic*</t>
        </is>
      </c>
      <c r="Z24" s="267">
        <f>HYPERLINK("https://srbl.netlify.app/?client=A14", "👤 Espace Client (A14)")</f>
        <v/>
      </c>
    </row>
    <row r="25" ht="24.95" customHeight="1">
      <c r="B25" s="128" t="inlineStr">
        <is>
          <t>DRISS BENNANI</t>
        </is>
      </c>
      <c r="C25" s="129" t="inlineStr">
        <is>
          <t>0661317078</t>
        </is>
      </c>
      <c r="D25" s="134" t="n">
        <v>44854</v>
      </c>
      <c r="E25" s="219" t="n"/>
      <c r="F25" s="229" t="inlineStr">
        <is>
          <t>Appartement N°15</t>
        </is>
      </c>
      <c r="G25" s="55" t="n">
        <v>300</v>
      </c>
      <c r="H25" s="55" t="n">
        <v>300</v>
      </c>
      <c r="I25" s="55" t="n">
        <v>300</v>
      </c>
      <c r="J25" s="55" t="n">
        <v>300</v>
      </c>
      <c r="K25" s="55" t="n">
        <v>300</v>
      </c>
      <c r="L25" s="55" t="n">
        <v>300</v>
      </c>
      <c r="M25" s="55" t="n">
        <v>300</v>
      </c>
      <c r="N25" s="55" t="n">
        <v>300</v>
      </c>
      <c r="O25" s="55" t="n">
        <v>300</v>
      </c>
      <c r="P25" s="55" t="n">
        <v>0</v>
      </c>
      <c r="Q25" s="55" t="n">
        <v>0</v>
      </c>
      <c r="R25" s="55" t="n">
        <v>0</v>
      </c>
      <c r="S25" s="126">
        <f>SUM(G25:R25)</f>
        <v/>
      </c>
      <c r="T25" s="126">
        <f>-(3600-S25)</f>
        <v/>
      </c>
      <c r="U25" s="127">
        <f>'Cotisation 2025'!U25</f>
        <v/>
      </c>
      <c r="V25" s="127">
        <f>'Cotisation 2025'!V25</f>
        <v/>
      </c>
      <c r="W25" s="267">
        <f>HYPERLINK("https://srbl.netlify.app/pdf/appel-A15.pdf", "📄 Voir PDF (A15)")</f>
        <v/>
      </c>
      <c r="X25" s="268">
        <f>HYPERLINK("https://wa.me/212661317078?text=%F0%9F%8F%A2%20%2ASYNDICAT%20R%C3%89SIDENCE%20BELLES%20LOGES%2A%0A%F0%9F%93%8D%20Rue%20Attabari%2C%20Quartier%20Les%20Princesses%2C%20Casablanca%0A%0ABonjour%20%2ADRISS%20BENNANI%2A%2C%0A%0AVeuillez%20trouver%20ci-dessous%20l%27appel%20de%20cotisations%20syndicales%20pour%20votre%20bien%20%28%2AAppartement%20N%C2%B015%2A%20/%20A15%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15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15%20-%20DRISS%20BENNANI_%0A%0AMerci%20pour%20votre%20pr%C3%A9cieuse%20collaboration.%0A%2ALe%20Bureau%20du%20Syndic%2A", "📲 Envoyer WhatsApp Direct")</f>
        <v/>
      </c>
      <c r="Y25" t="inlineStr">
        <is>
          <t>🏢 *SYNDICAT RÉSIDENCE BELLES LOGES*
📍 Rue Attabari, Quartier Les Princesses, Casablanca
Bonjour *DRISS BENNANI*,
Veuillez trouver ci-dessous l'appel de cotisations syndicales pour votre bien (*Appartement N°15* / A15) :
📅 *Période :* Année 2026
💰 *Total à régler :* *3600 DH*
📄 *Télécharger votre document officiel (PDF) :*
👉 https://srbl.netlify.app/pdf/appel-A15.pdf
🏦 *Coordonnées bancaires pour le virement :*
• *Bénéficiaire :* SYNDICAT RESIDENCE BELLES LOGES
• *Banque :* BMCE / BANK OF AFRICA
• *RIB :* `011 780 0000402100011545 25`
_Motif : A15 - DRISS BENNANI_
Merci pour votre précieuse collaboration.
*Le Bureau du Syndic*</t>
        </is>
      </c>
      <c r="Z25" s="267">
        <f>HYPERLINK("https://srbl.netlify.app/?client=A15", "👤 Espace Client (A15)")</f>
        <v/>
      </c>
    </row>
    <row r="26" ht="24.95" customHeight="1">
      <c r="B26" s="137" t="inlineStr">
        <is>
          <t>GHALLAB MOUHSSINE</t>
        </is>
      </c>
      <c r="C26" s="129" t="inlineStr">
        <is>
          <t>0661157305</t>
        </is>
      </c>
      <c r="D26" s="134" t="n">
        <v>44958</v>
      </c>
      <c r="E26" s="219" t="n"/>
      <c r="F26" s="227" t="inlineStr">
        <is>
          <t>Appartement N°16</t>
        </is>
      </c>
      <c r="G26" s="55" t="n">
        <v>300</v>
      </c>
      <c r="H26" s="55" t="n">
        <v>300</v>
      </c>
      <c r="I26" s="55" t="n">
        <v>300</v>
      </c>
      <c r="J26" s="55" t="n">
        <v>300</v>
      </c>
      <c r="K26" s="55" t="n">
        <v>300</v>
      </c>
      <c r="L26" s="55" t="n">
        <v>300</v>
      </c>
      <c r="M26" s="55" t="n">
        <v>300</v>
      </c>
      <c r="N26" s="55" t="n">
        <v>300</v>
      </c>
      <c r="O26" s="55" t="n">
        <v>300</v>
      </c>
      <c r="P26" s="55" t="n">
        <v>0</v>
      </c>
      <c r="Q26" s="55" t="n">
        <v>0</v>
      </c>
      <c r="R26" s="55" t="n">
        <v>0</v>
      </c>
      <c r="S26" s="126">
        <f>SUM(G26:R26)</f>
        <v/>
      </c>
      <c r="T26" s="126">
        <f>-(3600-S26)</f>
        <v/>
      </c>
      <c r="U26" s="127">
        <f>'Cotisation 2025'!U26</f>
        <v/>
      </c>
      <c r="V26" s="127">
        <f>'Cotisation 2025'!V26</f>
        <v/>
      </c>
      <c r="W26" s="267">
        <f>HYPERLINK("https://srbl.netlify.app/pdf/appel-A16.pdf", "📄 Voir PDF (A16)")</f>
        <v/>
      </c>
      <c r="X26" s="268">
        <f>HYPERLINK("https://wa.me/212661157305?text=%F0%9F%8F%A2%20%2ASYNDICAT%20R%C3%89SIDENCE%20BELLES%20LOGES%2A%0A%F0%9F%93%8D%20Rue%20Attabari%2C%20Quartier%20Les%20Princesses%2C%20Casablanca%0A%0ABonjour%20%2AGHALLAB%20MOUHSSINE%2A%2C%0A%0AVeuillez%20trouver%20ci-dessous%20l%27appel%20de%20cotisations%20syndicales%20pour%20votre%20bien%20%28%2AAppartement%20N%C2%B016%2A%20/%20A16%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16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16%20-%20GHALLAB%20MOUHSSINE_%0A%0AMerci%20pour%20votre%20pr%C3%A9cieuse%20collaboration.%0A%2ALe%20Bureau%20du%20Syndic%2A", "📲 Envoyer WhatsApp Direct")</f>
        <v/>
      </c>
      <c r="Y26" t="inlineStr">
        <is>
          <t>🏢 *SYNDICAT RÉSIDENCE BELLES LOGES*
📍 Rue Attabari, Quartier Les Princesses, Casablanca
Bonjour *GHALLAB MOUHSSINE*,
Veuillez trouver ci-dessous l'appel de cotisations syndicales pour votre bien (*Appartement N°16* / A16) :
📅 *Période :* Année 2026
💰 *Total à régler :* *3600 DH*
📄 *Télécharger votre document officiel (PDF) :*
👉 https://srbl.netlify.app/pdf/appel-A16.pdf
🏦 *Coordonnées bancaires pour le virement :*
• *Bénéficiaire :* SYNDICAT RESIDENCE BELLES LOGES
• *Banque :* BMCE / BANK OF AFRICA
• *RIB :* `011 780 0000402100011545 25`
_Motif : A16 - GHALLAB MOUHSSINE_
Merci pour votre précieuse collaboration.
*Le Bureau du Syndic*</t>
        </is>
      </c>
      <c r="Z26" s="267">
        <f>HYPERLINK("https://srbl.netlify.app/?client=A16", "👤 Espace Client (A16)")</f>
        <v/>
      </c>
      <c r="AA26" s="231">
        <f>U40+2640</f>
        <v/>
      </c>
    </row>
    <row r="27" ht="24.95" customHeight="1">
      <c r="B27" s="143" t="inlineStr">
        <is>
          <t>GHALLAB HAMID</t>
        </is>
      </c>
      <c r="C27" s="139" t="inlineStr">
        <is>
          <t>0661311165 / 0666422524</t>
        </is>
      </c>
      <c r="D27" s="134" t="n">
        <v>44958</v>
      </c>
      <c r="E27" s="219" t="n"/>
      <c r="F27" s="227" t="inlineStr">
        <is>
          <t>Appartement N°17</t>
        </is>
      </c>
      <c r="G27" s="55" t="n">
        <v>300</v>
      </c>
      <c r="H27" s="55" t="n">
        <v>300</v>
      </c>
      <c r="I27" s="55" t="n">
        <v>300</v>
      </c>
      <c r="J27" s="55" t="n">
        <v>300</v>
      </c>
      <c r="K27" s="55" t="n">
        <v>300</v>
      </c>
      <c r="L27" s="55" t="n">
        <v>300</v>
      </c>
      <c r="M27" s="55" t="n">
        <v>300</v>
      </c>
      <c r="N27" s="55" t="n">
        <v>300</v>
      </c>
      <c r="O27" s="55" t="n">
        <v>300</v>
      </c>
      <c r="P27" s="55" t="n">
        <v>300</v>
      </c>
      <c r="Q27" s="55" t="n">
        <v>300</v>
      </c>
      <c r="R27" s="55" t="n">
        <v>300</v>
      </c>
      <c r="S27" s="126">
        <f>SUM(G27:R27)</f>
        <v/>
      </c>
      <c r="T27" s="126">
        <f>-(3600-S27)</f>
        <v/>
      </c>
      <c r="U27" s="127">
        <f>'Cotisation 2025'!U27</f>
        <v/>
      </c>
      <c r="V27" s="127">
        <f>'Cotisation 2025'!V27</f>
        <v/>
      </c>
      <c r="W27" s="267">
        <f>HYPERLINK("https://srbl.netlify.app/pdf/appel-A17.pdf", "📄 Voir PDF (A17)")</f>
        <v/>
      </c>
      <c r="X27" s="268">
        <f>HYPERLINK("https://wa.me/06613111650666422524?text=%F0%9F%8F%A2%20%2ASYNDICAT%20R%C3%89SIDENCE%20BELLES%20LOGES%2A%0A%F0%9F%93%8D%20Rue%20Attabari%2C%20Quartier%20Les%20Princesses%2C%20Casablanca%0A%0ABonjour%20%2AGHALLAB%20HAMID%2A%2C%0A%0AVeuillez%20trouver%20ci-dessous%20l%27appel%20de%20cotisations%20syndicales%20pour%20votre%20bien%20%28%2AAppartement%20N%C2%B017%2A%20/%20A17%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17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17%20-%20GHALLAB%20HAMID_%0A%0AMerci%20pour%20votre%20pr%C3%A9cieuse%20collaboration.%0A%2ALe%20Bureau%20du%20Syndic%2A", "📲 Envoyer WhatsApp Direct")</f>
        <v/>
      </c>
      <c r="Y27" t="inlineStr">
        <is>
          <t>🏢 *SYNDICAT RÉSIDENCE BELLES LOGES*
📍 Rue Attabari, Quartier Les Princesses, Casablanca
Bonjour *GHALLAB HAMID*,
Veuillez trouver ci-dessous l'appel de cotisations syndicales pour votre bien (*Appartement N°17* / A17) :
📅 *Période :* Année 2026
💰 *Total à régler :* *3600 DH*
📄 *Télécharger votre document officiel (PDF) :*
👉 https://srbl.netlify.app/pdf/appel-A17.pdf
🏦 *Coordonnées bancaires pour le virement :*
• *Bénéficiaire :* SYNDICAT RESIDENCE BELLES LOGES
• *Banque :* BMCE / BANK OF AFRICA
• *RIB :* `011 780 0000402100011545 25`
_Motif : A17 - GHALLAB HAMID_
Merci pour votre précieuse collaboration.
*Le Bureau du Syndic*</t>
        </is>
      </c>
      <c r="Z27" s="267">
        <f>HYPERLINK("https://srbl.netlify.app/?client=A17", "👤 Espace Client (A17)")</f>
        <v/>
      </c>
    </row>
    <row r="28" ht="24.95" customHeight="1">
      <c r="B28" s="144" t="inlineStr">
        <is>
          <t>MME BEN BRAHIM ANDALOUSSI FATTOUMA</t>
        </is>
      </c>
      <c r="C28" s="129" t="inlineStr">
        <is>
          <t>0661324710</t>
        </is>
      </c>
      <c r="D28" s="134" t="n">
        <v>45108</v>
      </c>
      <c r="E28" s="228" t="n"/>
      <c r="F28" s="227" t="inlineStr">
        <is>
          <t>Appartement N°18</t>
        </is>
      </c>
      <c r="G28" s="55" t="n">
        <v>300</v>
      </c>
      <c r="H28" s="55" t="n">
        <v>300</v>
      </c>
      <c r="I28" s="55" t="n">
        <v>300</v>
      </c>
      <c r="J28" s="55" t="n">
        <v>300</v>
      </c>
      <c r="K28" s="55" t="n">
        <v>300</v>
      </c>
      <c r="L28" s="55" t="n">
        <v>300</v>
      </c>
      <c r="M28" s="55" t="n">
        <v>300</v>
      </c>
      <c r="N28" s="55" t="n">
        <v>300</v>
      </c>
      <c r="O28" s="55" t="n">
        <v>300</v>
      </c>
      <c r="P28" s="55" t="n">
        <v>300</v>
      </c>
      <c r="Q28" s="55" t="n">
        <v>300</v>
      </c>
      <c r="R28" s="55" t="n">
        <v>300</v>
      </c>
      <c r="S28" s="126">
        <f>SUM(G28:R28)</f>
        <v/>
      </c>
      <c r="T28" s="126">
        <f>-(3600-S28)</f>
        <v/>
      </c>
      <c r="U28" s="127">
        <f>'Cotisation 2025'!U28</f>
        <v/>
      </c>
      <c r="V28" s="127">
        <f>'Cotisation 2025'!V28</f>
        <v/>
      </c>
      <c r="W28" s="267">
        <f>HYPERLINK("https://srbl.netlify.app/pdf/appel-A18.pdf", "📄 Voir PDF (A18)")</f>
        <v/>
      </c>
      <c r="X28" s="268">
        <f>HYPERLINK("https://wa.me/212661324710?text=%F0%9F%8F%A2%20%2ASYNDICAT%20R%C3%89SIDENCE%20BELLES%20LOGES%2A%0A%F0%9F%93%8D%20Rue%20Attabari%2C%20Quartier%20Les%20Princesses%2C%20Casablanca%0A%0ABonjour%20%2AMME%20BEN%20BRAHIM%20ANDALOUSSI%20FATTOUMA%2A%2C%0A%0AVeuillez%20trouver%20ci-dessous%20l%27appel%20de%20cotisations%20syndicales%20pour%20votre%20bien%20%28%2AAppartement%20N%C2%B018%2A%20/%20A18%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18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18%20-%20MME%20BEN%20BRAHIM%20ANDALOUSSI%20FATTOUMA_%0A%0AMerci%20pour%20votre%20pr%C3%A9cieuse%20collaboration.%0A%2ALe%20Bureau%20du%20Syndic%2A", "📲 Envoyer WhatsApp Direct")</f>
        <v/>
      </c>
      <c r="Y28" t="inlineStr">
        <is>
          <t>🏢 *SYNDICAT RÉSIDENCE BELLES LOGES*
📍 Rue Attabari, Quartier Les Princesses, Casablanca
Bonjour *MME BEN BRAHIM ANDALOUSSI FATTOUMA*,
Veuillez trouver ci-dessous l'appel de cotisations syndicales pour votre bien (*Appartement N°18* / A18) :
📅 *Période :* Année 2026
💰 *Total à régler :* *3600 DH*
📄 *Télécharger votre document officiel (PDF) :*
👉 https://srbl.netlify.app/pdf/appel-A18.pdf
🏦 *Coordonnées bancaires pour le virement :*
• *Bénéficiaire :* SYNDICAT RESIDENCE BELLES LOGES
• *Banque :* BMCE / BANK OF AFRICA
• *RIB :* `011 780 0000402100011545 25`
_Motif : A18 - MME BEN BRAHIM ANDALOUSSI FATTOUMA_
Merci pour votre précieuse collaboration.
*Le Bureau du Syndic*</t>
        </is>
      </c>
      <c r="Z28" s="267">
        <f>HYPERLINK("https://srbl.netlify.app/?client=A18", "👤 Espace Client (A18)")</f>
        <v/>
      </c>
    </row>
    <row r="29" ht="24.95" customHeight="1">
      <c r="B29" s="137" t="inlineStr">
        <is>
          <t>GHALLAB MOUHSSINE</t>
        </is>
      </c>
      <c r="C29" s="129" t="inlineStr">
        <is>
          <t>0661157305</t>
        </is>
      </c>
      <c r="D29" s="134" t="n">
        <v>44958</v>
      </c>
      <c r="E29" s="201" t="n">
        <v>4</v>
      </c>
      <c r="F29" s="227" t="inlineStr">
        <is>
          <t>Appartement N°19</t>
        </is>
      </c>
      <c r="G29" s="55" t="n">
        <v>300</v>
      </c>
      <c r="H29" s="55" t="n">
        <v>300</v>
      </c>
      <c r="I29" s="55" t="n">
        <v>300</v>
      </c>
      <c r="J29" s="55" t="n">
        <v>300</v>
      </c>
      <c r="K29" s="55" t="n">
        <v>300</v>
      </c>
      <c r="L29" s="55" t="n">
        <v>300</v>
      </c>
      <c r="M29" s="55" t="n">
        <v>300</v>
      </c>
      <c r="N29" s="55" t="n">
        <v>300</v>
      </c>
      <c r="O29" s="55" t="n">
        <v>300</v>
      </c>
      <c r="P29" s="55" t="n">
        <v>0</v>
      </c>
      <c r="Q29" s="55" t="n">
        <v>0</v>
      </c>
      <c r="R29" s="55" t="n">
        <v>0</v>
      </c>
      <c r="S29" s="126">
        <f>SUM(G29:R29)</f>
        <v/>
      </c>
      <c r="T29" s="126">
        <f>-(3600-S29)</f>
        <v/>
      </c>
      <c r="U29" s="127">
        <f>'Cotisation 2025'!U29</f>
        <v/>
      </c>
      <c r="V29" s="127">
        <f>'Cotisation 2025'!V29</f>
        <v/>
      </c>
      <c r="W29" s="267">
        <f>HYPERLINK("https://srbl.netlify.app/pdf/appel-A19.pdf", "📄 Voir PDF (A19)")</f>
        <v/>
      </c>
      <c r="X29" s="268">
        <f>HYPERLINK("https://wa.me/212661157305?text=%F0%9F%8F%A2%20%2ASYNDICAT%20R%C3%89SIDENCE%20BELLES%20LOGES%2A%0A%F0%9F%93%8D%20Rue%20Attabari%2C%20Quartier%20Les%20Princesses%2C%20Casablanca%0A%0ABonjour%20%2AGHALLAB%20MOUHSSINE%2A%2C%0A%0AVeuillez%20trouver%20ci-dessous%20l%27appel%20de%20cotisations%20syndicales%20pour%20votre%20bien%20%28%2AAppartement%20N%C2%B019%2A%20/%20A19%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19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19%20-%20GHALLAB%20MOUHSSINE_%0A%0AMerci%20pour%20votre%20pr%C3%A9cieuse%20collaboration.%0A%2ALe%20Bureau%20du%20Syndic%2A", "📲 Envoyer WhatsApp Direct")</f>
        <v/>
      </c>
      <c r="Y29" t="inlineStr">
        <is>
          <t>🏢 *SYNDICAT RÉSIDENCE BELLES LOGES*
📍 Rue Attabari, Quartier Les Princesses, Casablanca
Bonjour *GHALLAB MOUHSSINE*,
Veuillez trouver ci-dessous l'appel de cotisations syndicales pour votre bien (*Appartement N°19* / A19) :
📅 *Période :* Année 2026
💰 *Total à régler :* *3600 DH*
📄 *Télécharger votre document officiel (PDF) :*
👉 https://srbl.netlify.app/pdf/appel-A19.pdf
🏦 *Coordonnées bancaires pour le virement :*
• *Bénéficiaire :* SYNDICAT RESIDENCE BELLES LOGES
• *Banque :* BMCE / BANK OF AFRICA
• *RIB :* `011 780 0000402100011545 25`
_Motif : A19 - GHALLAB MOUHSSINE_
Merci pour votre précieuse collaboration.
*Le Bureau du Syndic*</t>
        </is>
      </c>
      <c r="Z29" s="267">
        <f>HYPERLINK("https://srbl.netlify.app/?client=A19", "👤 Espace Client (A19)")</f>
        <v/>
      </c>
    </row>
    <row r="30" ht="24.95" customHeight="1">
      <c r="B30" s="137" t="inlineStr">
        <is>
          <t>GHALLAB MOUHSSINE</t>
        </is>
      </c>
      <c r="C30" s="129" t="inlineStr">
        <is>
          <t>0661157305</t>
        </is>
      </c>
      <c r="D30" s="134" t="n">
        <v>44886</v>
      </c>
      <c r="E30" s="219" t="n"/>
      <c r="F30" s="227" t="inlineStr">
        <is>
          <t>Appartement N°20</t>
        </is>
      </c>
      <c r="G30" s="55" t="n">
        <v>300</v>
      </c>
      <c r="H30" s="55" t="n">
        <v>300</v>
      </c>
      <c r="I30" s="55" t="n">
        <v>300</v>
      </c>
      <c r="J30" s="55" t="n">
        <v>300</v>
      </c>
      <c r="K30" s="55" t="n">
        <v>300</v>
      </c>
      <c r="L30" s="55" t="n">
        <v>300</v>
      </c>
      <c r="M30" s="55" t="n">
        <v>300</v>
      </c>
      <c r="N30" s="55" t="n">
        <v>300</v>
      </c>
      <c r="O30" s="55" t="n">
        <v>300</v>
      </c>
      <c r="P30" s="55" t="n">
        <v>300</v>
      </c>
      <c r="Q30" s="55" t="n">
        <v>300</v>
      </c>
      <c r="R30" s="55" t="n">
        <v>300</v>
      </c>
      <c r="S30" s="126">
        <f>SUM(G30:R30)</f>
        <v/>
      </c>
      <c r="T30" s="126">
        <f>-(3600-S30)</f>
        <v/>
      </c>
      <c r="U30" s="127">
        <f>'Cotisation 2025'!U30</f>
        <v/>
      </c>
      <c r="V30" s="127">
        <f>'Cotisation 2025'!V30</f>
        <v/>
      </c>
      <c r="W30" s="267">
        <f>HYPERLINK("https://srbl.netlify.app/pdf/appel-A02.pdf", "📄 Voir PDF (A02)")</f>
        <v/>
      </c>
      <c r="X30" s="268">
        <f>HYPERLINK("https://wa.me/212661157305?text=%F0%9F%8F%A2%20%2ASYNDICAT%20R%C3%89SIDENCE%20BELLES%20LOGES%2A%0A%F0%9F%93%8D%20Rue%20Attabari%2C%20Quartier%20Les%20Princesses%2C%20Casablanca%0A%0ABonjour%20%2AGHALLAB%20MOUHSSINE%2A%2C%0A%0AVeuillez%20trouver%20ci-dessous%20l%27appel%20de%20cotisations%20syndicales%20pour%20votre%20bien%20%28%2AAppartement%20N%C2%B020%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GHALLAB%20MOUHSSINE_%0A%0AMerci%20pour%20votre%20pr%C3%A9cieuse%20collaboration.%0A%2ALe%20Bureau%20du%20Syndic%2A", "📲 Envoyer WhatsApp Direct")</f>
        <v/>
      </c>
      <c r="Y30" t="inlineStr">
        <is>
          <t>🏢 *SYNDICAT RÉSIDENCE BELLES LOGES*
📍 Rue Attabari, Quartier Les Princesses, Casablanca
Bonjour *GHALLAB MOUHSSINE*,
Veuillez trouver ci-dessous l'appel de cotisations syndicales pour votre bien (*Appartement N°20*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GHALLAB MOUHSSINE_
Merci pour votre précieuse collaboration.
*Le Bureau du Syndic*</t>
        </is>
      </c>
      <c r="Z30" s="267">
        <f>HYPERLINK("https://srbl.netlify.app/?client=A02", "👤 Espace Client (A02)")</f>
        <v/>
      </c>
    </row>
    <row r="31" ht="24.95" customHeight="1">
      <c r="B31" s="145" t="inlineStr">
        <is>
          <t>MME BEN BRAHIM ANDALOUSSI FATTOUMA</t>
        </is>
      </c>
      <c r="C31" s="129" t="inlineStr">
        <is>
          <t>0661324710</t>
        </is>
      </c>
      <c r="D31" s="134" t="n">
        <v>44851</v>
      </c>
      <c r="E31" s="219" t="n"/>
      <c r="F31" s="227" t="inlineStr">
        <is>
          <t>Appartement N°21</t>
        </is>
      </c>
      <c r="G31" s="55" t="n">
        <v>300</v>
      </c>
      <c r="H31" s="55" t="n">
        <v>300</v>
      </c>
      <c r="I31" s="55" t="n">
        <v>300</v>
      </c>
      <c r="J31" s="55" t="n">
        <v>300</v>
      </c>
      <c r="K31" s="55" t="n">
        <v>300</v>
      </c>
      <c r="L31" s="55" t="n">
        <v>300</v>
      </c>
      <c r="M31" s="55" t="n">
        <v>300</v>
      </c>
      <c r="N31" s="55" t="n">
        <v>300</v>
      </c>
      <c r="O31" s="55" t="n">
        <v>300</v>
      </c>
      <c r="P31" s="55" t="n">
        <v>300</v>
      </c>
      <c r="Q31" s="55" t="n">
        <v>300</v>
      </c>
      <c r="R31" s="55" t="n">
        <v>300</v>
      </c>
      <c r="S31" s="126">
        <f>SUM(G31:R31)</f>
        <v/>
      </c>
      <c r="T31" s="126">
        <f>-(3600-S31)</f>
        <v/>
      </c>
      <c r="U31" s="127">
        <f>'Cotisation 2025'!U31</f>
        <v/>
      </c>
      <c r="V31" s="127">
        <f>'Cotisation 2025'!V31</f>
        <v/>
      </c>
      <c r="W31" s="267">
        <f>HYPERLINK("https://srbl.netlify.app/pdf/appel-A02.pdf", "📄 Voir PDF (A02)")</f>
        <v/>
      </c>
      <c r="X31" s="268">
        <f>HYPERLINK("https://wa.me/212661324710?text=%F0%9F%8F%A2%20%2ASYNDICAT%20R%C3%89SIDENCE%20BELLES%20LOGES%2A%0A%F0%9F%93%8D%20Rue%20Attabari%2C%20Quartier%20Les%20Princesses%2C%20Casablanca%0A%0ABonjour%20%2AMME%20BEN%20BRAHIM%20ANDALOUSSI%20FATTOUMA%2A%2C%0A%0AVeuillez%20trouver%20ci-dessous%20l%27appel%20de%20cotisations%20syndicales%20pour%20votre%20bien%20%28%2AAppartement%20N%C2%B021%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ME%20BEN%20BRAHIM%20ANDALOUSSI%20FATTOUMA_%0A%0AMerci%20pour%20votre%20pr%C3%A9cieuse%20collaboration.%0A%2ALe%20Bureau%20du%20Syndic%2A", "📲 Envoyer WhatsApp Direct")</f>
        <v/>
      </c>
      <c r="Y31" t="inlineStr">
        <is>
          <t>🏢 *SYNDICAT RÉSIDENCE BELLES LOGES*
📍 Rue Attabari, Quartier Les Princesses, Casablanca
Bonjour *MME BEN BRAHIM ANDALOUSSI FATTOUMA*,
Veuillez trouver ci-dessous l'appel de cotisations syndicales pour votre bien (*Appartement N°21*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MME BEN BRAHIM ANDALOUSSI FATTOUMA_
Merci pour votre précieuse collaboration.
*Le Bureau du Syndic*</t>
        </is>
      </c>
      <c r="Z31" s="267">
        <f>HYPERLINK("https://srbl.netlify.app/?client=A02", "👤 Espace Client (A02)")</f>
        <v/>
      </c>
    </row>
    <row r="32" ht="24.95" customHeight="1">
      <c r="B32" s="133" t="inlineStr">
        <is>
          <t>GHALLAB HAKIM</t>
        </is>
      </c>
      <c r="C32" s="129" t="inlineStr">
        <is>
          <t>0661411823</t>
        </is>
      </c>
      <c r="D32" s="134" t="n">
        <v>44853</v>
      </c>
      <c r="E32" s="219" t="n"/>
      <c r="F32" s="227" t="inlineStr">
        <is>
          <t>Appartement N°22</t>
        </is>
      </c>
      <c r="G32" s="55" t="n">
        <v>300</v>
      </c>
      <c r="H32" s="55" t="n">
        <v>300</v>
      </c>
      <c r="I32" s="55" t="n">
        <v>300</v>
      </c>
      <c r="J32" s="55" t="n">
        <v>300</v>
      </c>
      <c r="K32" s="55" t="n">
        <v>300</v>
      </c>
      <c r="L32" s="55" t="n">
        <v>300</v>
      </c>
      <c r="M32" s="55" t="n">
        <v>300</v>
      </c>
      <c r="N32" s="55" t="n">
        <v>300</v>
      </c>
      <c r="O32" s="55" t="n">
        <v>300</v>
      </c>
      <c r="P32" s="55" t="n">
        <v>300</v>
      </c>
      <c r="Q32" s="55" t="n">
        <v>300</v>
      </c>
      <c r="R32" s="55" t="n">
        <v>300</v>
      </c>
      <c r="S32" s="126">
        <f>SUM(G32:R32)</f>
        <v/>
      </c>
      <c r="T32" s="126">
        <f>-(3600-S32)</f>
        <v/>
      </c>
      <c r="U32" s="127">
        <f>'Cotisation 2025'!U32</f>
        <v/>
      </c>
      <c r="V32" s="127">
        <f>'Cotisation 2025'!V32</f>
        <v/>
      </c>
      <c r="W32" s="267">
        <f>HYPERLINK("https://srbl.netlify.app/pdf/appel-A02.pdf", "📄 Voir PDF (A02)")</f>
        <v/>
      </c>
      <c r="X32" s="268">
        <f>HYPERLINK("https://wa.me/212661411823?text=%F0%9F%8F%A2%20%2ASYNDICAT%20R%C3%89SIDENCE%20BELLES%20LOGES%2A%0A%F0%9F%93%8D%20Rue%20Attabari%2C%20Quartier%20Les%20Princesses%2C%20Casablanca%0A%0ABonjour%20%2AGHALLAB%20HAKIM%2A%2C%0A%0AVeuillez%20trouver%20ci-dessous%20l%27appel%20de%20cotisations%20syndicales%20pour%20votre%20bien%20%28%2AAppartement%20N%C2%B022%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GHALLAB%20HAKIM_%0A%0AMerci%20pour%20votre%20pr%C3%A9cieuse%20collaboration.%0A%2ALe%20Bureau%20du%20Syndic%2A", "📲 Envoyer WhatsApp Direct")</f>
        <v/>
      </c>
      <c r="Y32" t="inlineStr">
        <is>
          <t>🏢 *SYNDICAT RÉSIDENCE BELLES LOGES*
📍 Rue Attabari, Quartier Les Princesses, Casablanca
Bonjour *GHALLAB HAKIM*,
Veuillez trouver ci-dessous l'appel de cotisations syndicales pour votre bien (*Appartement N°22*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GHALLAB HAKIM_
Merci pour votre précieuse collaboration.
*Le Bureau du Syndic*</t>
        </is>
      </c>
      <c r="Z32" s="267">
        <f>HYPERLINK("https://srbl.netlify.app/?client=A02", "👤 Espace Client (A02)")</f>
        <v/>
      </c>
    </row>
    <row r="33" ht="24.95" customHeight="1">
      <c r="B33" s="128" t="inlineStr">
        <is>
          <t>MOULINE LARBI</t>
        </is>
      </c>
      <c r="C33" s="129" t="inlineStr">
        <is>
          <t>0606557512</t>
        </is>
      </c>
      <c r="D33" s="134" t="n">
        <v>44881</v>
      </c>
      <c r="E33" s="219" t="n"/>
      <c r="F33" s="230" t="inlineStr">
        <is>
          <t>Appartement N°23</t>
        </is>
      </c>
      <c r="G33" s="55" t="n">
        <v>300</v>
      </c>
      <c r="H33" s="55" t="n">
        <v>300</v>
      </c>
      <c r="I33" s="55" t="n">
        <v>300</v>
      </c>
      <c r="J33" s="55" t="n">
        <v>300</v>
      </c>
      <c r="K33" s="55" t="n">
        <v>300</v>
      </c>
      <c r="L33" s="55" t="n">
        <v>300</v>
      </c>
      <c r="M33" s="55" t="n">
        <v>300</v>
      </c>
      <c r="N33" s="55" t="n">
        <v>300</v>
      </c>
      <c r="O33" s="55" t="n">
        <v>300</v>
      </c>
      <c r="P33" s="55" t="n">
        <v>300</v>
      </c>
      <c r="Q33" s="55" t="n">
        <v>300</v>
      </c>
      <c r="R33" s="55" t="n">
        <v>300</v>
      </c>
      <c r="S33" s="126">
        <f>SUM(G33:R33)</f>
        <v/>
      </c>
      <c r="T33" s="126">
        <f>-(3600-S33)</f>
        <v/>
      </c>
      <c r="U33" s="127">
        <f>'Cotisation 2025'!U33</f>
        <v/>
      </c>
      <c r="V33" s="127">
        <f>'Cotisation 2025'!V33</f>
        <v/>
      </c>
      <c r="W33" s="267">
        <f>HYPERLINK("https://srbl.netlify.app/pdf/appel-A02.pdf", "📄 Voir PDF (A02)")</f>
        <v/>
      </c>
      <c r="X33" s="268">
        <f>HYPERLINK("https://wa.me/212606557512?text=%F0%9F%8F%A2%20%2ASYNDICAT%20R%C3%89SIDENCE%20BELLES%20LOGES%2A%0A%F0%9F%93%8D%20Rue%20Attabari%2C%20Quartier%20Les%20Princesses%2C%20Casablanca%0A%0ABonjour%20%2AMOULINE%20LARBI%2A%2C%0A%0AVeuillez%20trouver%20ci-dessous%20l%27appel%20de%20cotisations%20syndicales%20pour%20votre%20bien%20%28%2AAppartement%20N%C2%B023%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OULINE%20LARBI_%0A%0AMerci%20pour%20votre%20pr%C3%A9cieuse%20collaboration.%0A%2ALe%20Bureau%20du%20Syndic%2A", "📲 Envoyer WhatsApp Direct")</f>
        <v/>
      </c>
      <c r="Y33" t="inlineStr">
        <is>
          <t>🏢 *SYNDICAT RÉSIDENCE BELLES LOGES*
📍 Rue Attabari, Quartier Les Princesses, Casablanca
Bonjour *MOULINE LARBI*,
Veuillez trouver ci-dessous l'appel de cotisations syndicales pour votre bien (*Appartement N°23*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MOULINE LARBI_
Merci pour votre précieuse collaboration.
*Le Bureau du Syndic*</t>
        </is>
      </c>
      <c r="Z33" s="267">
        <f>HYPERLINK("https://srbl.netlify.app/?client=A02", "👤 Espace Client (A02)")</f>
        <v/>
      </c>
    </row>
    <row r="34" ht="24.95" customHeight="1">
      <c r="B34" s="136" t="inlineStr">
        <is>
          <t xml:space="preserve">NMJ CAPITAL / BEN HADDOUCH YOUNES </t>
        </is>
      </c>
      <c r="C34" s="129" t="inlineStr">
        <is>
          <t>0669281802</t>
        </is>
      </c>
      <c r="D34" s="134" t="n">
        <v>45474</v>
      </c>
      <c r="E34" s="228" t="n"/>
      <c r="F34" s="227" t="inlineStr">
        <is>
          <t>Appartement N°24</t>
        </is>
      </c>
      <c r="G34" s="55" t="n">
        <v>300</v>
      </c>
      <c r="H34" s="55" t="n">
        <v>300</v>
      </c>
      <c r="I34" s="55" t="n">
        <v>300</v>
      </c>
      <c r="J34" s="55" t="n">
        <v>300</v>
      </c>
      <c r="K34" s="55" t="n">
        <v>300</v>
      </c>
      <c r="L34" s="55" t="n">
        <v>300</v>
      </c>
      <c r="M34" s="55" t="n">
        <v>300</v>
      </c>
      <c r="N34" s="55" t="n">
        <v>300</v>
      </c>
      <c r="O34" s="55" t="n">
        <v>300</v>
      </c>
      <c r="P34" s="55" t="n">
        <v>300</v>
      </c>
      <c r="Q34" s="55" t="n">
        <v>300</v>
      </c>
      <c r="R34" s="55" t="n">
        <v>300</v>
      </c>
      <c r="S34" s="126">
        <f>SUM(G34:R34)</f>
        <v/>
      </c>
      <c r="T34" s="126">
        <f>-(3600-S34)</f>
        <v/>
      </c>
      <c r="U34" s="127">
        <f>'Cotisation 2025'!U34</f>
        <v/>
      </c>
      <c r="V34" s="127">
        <f>'Cotisation 2025'!V34</f>
        <v/>
      </c>
      <c r="W34" s="267">
        <f>HYPERLINK("https://srbl.netlify.app/pdf/appel-A02.pdf", "📄 Voir PDF (A02)")</f>
        <v/>
      </c>
      <c r="X34" s="268">
        <f>HYPERLINK("https://wa.me/212669281802?text=%F0%9F%8F%A2%20%2ASYNDICAT%20R%C3%89SIDENCE%20BELLES%20LOGES%2A%0A%F0%9F%93%8D%20Rue%20Attabari%2C%20Quartier%20Les%20Princesses%2C%20Casablanca%0A%0ABonjour%20%2ANMJ%20CAPITAL%20/%20BEN%20HADDOUCH%20YOUNES%2A%2C%0A%0AVeuillez%20trouver%20ci-dessous%20l%27appel%20de%20cotisations%20syndicales%20pour%20votre%20bien%20%28%2AAppartement%20N%C2%B024%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NMJ%20CAPITAL%20/%20BEN%20HADDOUCH%20YOUNES_%0A%0AMerci%20pour%20votre%20pr%C3%A9cieuse%20collaboration.%0A%2ALe%20Bureau%20du%20Syndic%2A", "📲 Envoyer WhatsApp Direct")</f>
        <v/>
      </c>
      <c r="Y34" t="inlineStr">
        <is>
          <t>🏢 *SYNDICAT RÉSIDENCE BELLES LOGES*
📍 Rue Attabari, Quartier Les Princesses, Casablanca
Bonjour *NMJ CAPITAL / BEN HADDOUCH YOUNES*,
Veuillez trouver ci-dessous l'appel de cotisations syndicales pour votre bien (*Appartement N°24*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NMJ CAPITAL / BEN HADDOUCH YOUNES_
Merci pour votre précieuse collaboration.
*Le Bureau du Syndic*</t>
        </is>
      </c>
      <c r="Z34" s="267">
        <f>HYPERLINK("https://srbl.netlify.app/?client=A02", "👤 Espace Client (A02)")</f>
        <v/>
      </c>
    </row>
    <row r="35" ht="24.95" customHeight="1">
      <c r="B35" s="128" t="inlineStr">
        <is>
          <t>MME HAJJI SABAH</t>
        </is>
      </c>
      <c r="C35" s="129" t="inlineStr">
        <is>
          <t>0661090187</t>
        </is>
      </c>
      <c r="D35" s="134" t="n">
        <v>44816</v>
      </c>
      <c r="E35" s="201" t="n">
        <v>5</v>
      </c>
      <c r="F35" s="229" t="inlineStr">
        <is>
          <t>Appartement N°25</t>
        </is>
      </c>
      <c r="G35" s="55" t="n">
        <v>300</v>
      </c>
      <c r="H35" s="55" t="n">
        <v>300</v>
      </c>
      <c r="I35" s="55" t="n">
        <v>300</v>
      </c>
      <c r="J35" s="55" t="n">
        <v>300</v>
      </c>
      <c r="K35" s="55" t="n">
        <v>300</v>
      </c>
      <c r="L35" s="55" t="n">
        <v>300</v>
      </c>
      <c r="M35" s="55" t="n">
        <v>300</v>
      </c>
      <c r="N35" s="55" t="n">
        <v>300</v>
      </c>
      <c r="O35" s="55" t="n">
        <v>300</v>
      </c>
      <c r="P35" s="55" t="n">
        <v>300</v>
      </c>
      <c r="Q35" s="55" t="n">
        <v>300</v>
      </c>
      <c r="R35" s="55" t="n">
        <v>300</v>
      </c>
      <c r="S35" s="126">
        <f>SUM(G35:R35)</f>
        <v/>
      </c>
      <c r="T35" s="126">
        <f>-(3600-S35)</f>
        <v/>
      </c>
      <c r="U35" s="127">
        <f>'Cotisation 2025'!U35</f>
        <v/>
      </c>
      <c r="V35" s="127">
        <f>'Cotisation 2025'!V35</f>
        <v/>
      </c>
      <c r="W35" s="267">
        <f>HYPERLINK("https://srbl.netlify.app/pdf/appel-A02.pdf", "📄 Voir PDF (A02)")</f>
        <v/>
      </c>
      <c r="X35" s="268">
        <f>HYPERLINK("https://wa.me/212661090187?text=%F0%9F%8F%A2%20%2ASYNDICAT%20R%C3%89SIDENCE%20BELLES%20LOGES%2A%0A%F0%9F%93%8D%20Rue%20Attabari%2C%20Quartier%20Les%20Princesses%2C%20Casablanca%0A%0ABonjour%20%2AMME%20HAJJI%20SABAH%2A%2C%0A%0AVeuillez%20trouver%20ci-dessous%20l%27appel%20de%20cotisations%20syndicales%20pour%20votre%20bien%20%28%2AAppartement%20N%C2%B025%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ME%20HAJJI%20SABAH_%0A%0AMerci%20pour%20votre%20pr%C3%A9cieuse%20collaboration.%0A%2ALe%20Bureau%20du%20Syndic%2A", "📲 Envoyer WhatsApp Direct")</f>
        <v/>
      </c>
      <c r="Y35" t="inlineStr">
        <is>
          <t>🏢 *SYNDICAT RÉSIDENCE BELLES LOGES*
📍 Rue Attabari, Quartier Les Princesses, Casablanca
Bonjour *MME HAJJI SABAH*,
Veuillez trouver ci-dessous l'appel de cotisations syndicales pour votre bien (*Appartement N°25*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MME HAJJI SABAH_
Merci pour votre précieuse collaboration.
*Le Bureau du Syndic*</t>
        </is>
      </c>
      <c r="Z35" s="267">
        <f>HYPERLINK("https://srbl.netlify.app/?client=A02", "👤 Espace Client (A02)")</f>
        <v/>
      </c>
    </row>
    <row r="36" ht="24.75" customHeight="1">
      <c r="B36" s="128" t="inlineStr">
        <is>
          <t>MLLE FILALI DOUNIA</t>
        </is>
      </c>
      <c r="C36" s="129" t="inlineStr">
        <is>
          <t>0661201440</t>
        </is>
      </c>
      <c r="D36" s="134" t="n">
        <v>44832</v>
      </c>
      <c r="E36" s="219" t="n"/>
      <c r="F36" s="227" t="inlineStr">
        <is>
          <t>Appartement N°26</t>
        </is>
      </c>
      <c r="G36" s="55" t="n">
        <v>300</v>
      </c>
      <c r="H36" s="55" t="n">
        <v>300</v>
      </c>
      <c r="I36" s="55" t="n">
        <v>300</v>
      </c>
      <c r="J36" s="55" t="n">
        <v>300</v>
      </c>
      <c r="K36" s="55" t="n">
        <v>300</v>
      </c>
      <c r="L36" s="55" t="n">
        <v>300</v>
      </c>
      <c r="M36" s="55" t="n">
        <v>300</v>
      </c>
      <c r="N36" s="55" t="n">
        <v>300</v>
      </c>
      <c r="O36" s="55" t="n">
        <v>300</v>
      </c>
      <c r="P36" s="55" t="n">
        <v>300</v>
      </c>
      <c r="Q36" s="55" t="n">
        <v>300</v>
      </c>
      <c r="R36" s="55" t="n">
        <v>300</v>
      </c>
      <c r="S36" s="126">
        <f>SUM(G36:R36)</f>
        <v/>
      </c>
      <c r="T36" s="126">
        <f>-(3600-S36)</f>
        <v/>
      </c>
      <c r="U36" s="127">
        <f>'Cotisation 2025'!U36</f>
        <v/>
      </c>
      <c r="V36" s="127">
        <f>'Cotisation 2025'!V36</f>
        <v/>
      </c>
      <c r="W36" s="267">
        <f>HYPERLINK("https://srbl.netlify.app/pdf/appel-A02.pdf", "📄 Voir PDF (A02)")</f>
        <v/>
      </c>
      <c r="X36" s="268">
        <f>HYPERLINK("https://wa.me/212661201440?text=%F0%9F%8F%A2%20%2ASYNDICAT%20R%C3%89SIDENCE%20BELLES%20LOGES%2A%0A%F0%9F%93%8D%20Rue%20Attabari%2C%20Quartier%20Les%20Princesses%2C%20Casablanca%0A%0ABonjour%20%2AMLLE%20FILALI%20DOUNIA%2A%2C%0A%0AVeuillez%20trouver%20ci-dessous%20l%27appel%20de%20cotisations%20syndicales%20pour%20votre%20bien%20%28%2AAppartement%20N%C2%B026%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LLE%20FILALI%20DOUNIA_%0A%0AMerci%20pour%20votre%20pr%C3%A9cieuse%20collaboration.%0A%2ALe%20Bureau%20du%20Syndic%2A", "📲 Envoyer WhatsApp Direct")</f>
        <v/>
      </c>
      <c r="Y36" t="inlineStr">
        <is>
          <t>🏢 *SYNDICAT RÉSIDENCE BELLES LOGES*
📍 Rue Attabari, Quartier Les Princesses, Casablanca
Bonjour *MLLE FILALI DOUNIA*,
Veuillez trouver ci-dessous l'appel de cotisations syndicales pour votre bien (*Appartement N°26*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MLLE FILALI DOUNIA_
Merci pour votre précieuse collaboration.
*Le Bureau du Syndic*</t>
        </is>
      </c>
      <c r="Z36" s="267">
        <f>HYPERLINK("https://srbl.netlify.app/?client=A02", "👤 Espace Client (A02)")</f>
        <v/>
      </c>
    </row>
    <row r="37" ht="24.95" customHeight="1">
      <c r="B37" s="128" t="inlineStr">
        <is>
          <t>MME AAMARA HAKIMA/MOUFARREH ADIL</t>
        </is>
      </c>
      <c r="C37" s="129" t="inlineStr">
        <is>
          <t>0663381883</t>
        </is>
      </c>
      <c r="D37" s="134" t="n">
        <v>44846</v>
      </c>
      <c r="E37" s="219" t="n"/>
      <c r="F37" s="227" t="inlineStr">
        <is>
          <t>Appartement N°27</t>
        </is>
      </c>
      <c r="G37" s="55" t="n">
        <v>300</v>
      </c>
      <c r="H37" s="55" t="n">
        <v>300</v>
      </c>
      <c r="I37" s="55" t="n">
        <v>300</v>
      </c>
      <c r="J37" s="55" t="n">
        <v>300</v>
      </c>
      <c r="K37" s="55" t="n">
        <v>300</v>
      </c>
      <c r="L37" s="55" t="n">
        <v>300</v>
      </c>
      <c r="M37" s="55" t="n">
        <v>300</v>
      </c>
      <c r="N37" s="55" t="n">
        <v>300</v>
      </c>
      <c r="O37" s="55" t="n">
        <v>300</v>
      </c>
      <c r="P37" s="55" t="n">
        <v>300</v>
      </c>
      <c r="Q37" s="55" t="n">
        <v>300</v>
      </c>
      <c r="R37" s="55" t="n">
        <v>300</v>
      </c>
      <c r="S37" s="126">
        <f>SUM(G37:R37)</f>
        <v/>
      </c>
      <c r="T37" s="126">
        <f>-(3600-S37)</f>
        <v/>
      </c>
      <c r="U37" s="127">
        <f>'Cotisation 2025'!U37</f>
        <v/>
      </c>
      <c r="V37" s="127">
        <f>'Cotisation 2025'!V37</f>
        <v/>
      </c>
      <c r="W37" s="267">
        <f>HYPERLINK("https://srbl.netlify.app/pdf/appel-A02.pdf", "📄 Voir PDF (A02)")</f>
        <v/>
      </c>
      <c r="X37" s="268">
        <f>HYPERLINK("https://wa.me/212663381883?text=%F0%9F%8F%A2%20%2ASYNDICAT%20R%C3%89SIDENCE%20BELLES%20LOGES%2A%0A%F0%9F%93%8D%20Rue%20Attabari%2C%20Quartier%20Les%20Princesses%2C%20Casablanca%0A%0ABonjour%20%2AMME%20AAMARA%20HAKIMA/MOUFARREH%20ADIL%2A%2C%0A%0AVeuillez%20trouver%20ci-dessous%20l%27appel%20de%20cotisations%20syndicales%20pour%20votre%20bien%20%28%2AAppartement%20N%C2%B027%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ME%20AAMARA%20HAKIMA/MOUFARREH%20ADIL_%0A%0AMerci%20pour%20votre%20pr%C3%A9cieuse%20collaboration.%0A%2ALe%20Bureau%20du%20Syndic%2A", "📲 Envoyer WhatsApp Direct")</f>
        <v/>
      </c>
      <c r="Y37" t="inlineStr">
        <is>
          <t>🏢 *SYNDICAT RÉSIDENCE BELLES LOGES*
📍 Rue Attabari, Quartier Les Princesses, Casablanca
Bonjour *MME AAMARA HAKIMA/MOUFARREH ADIL*,
Veuillez trouver ci-dessous l'appel de cotisations syndicales pour votre bien (*Appartement N°27*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MME AAMARA HAKIMA/MOUFARREH ADIL_
Merci pour votre précieuse collaboration.
*Le Bureau du Syndic*</t>
        </is>
      </c>
      <c r="Z37" s="267">
        <f>HYPERLINK("https://srbl.netlify.app/?client=A02", "👤 Espace Client (A02)")</f>
        <v/>
      </c>
    </row>
    <row r="38" ht="24.75" customHeight="1">
      <c r="B38" s="128" t="inlineStr">
        <is>
          <t>YASSINE YATRIBI</t>
        </is>
      </c>
      <c r="C38" s="129" t="inlineStr">
        <is>
          <t>0661478244</t>
        </is>
      </c>
      <c r="D38" s="134" t="n">
        <v>46143</v>
      </c>
      <c r="E38" s="219" t="n"/>
      <c r="F38" s="229" t="inlineStr">
        <is>
          <t>Appartement N°28</t>
        </is>
      </c>
      <c r="G38" s="55" t="n">
        <v>300</v>
      </c>
      <c r="H38" s="55" t="n">
        <v>300</v>
      </c>
      <c r="I38" s="55" t="n">
        <v>300</v>
      </c>
      <c r="J38" s="55" t="n">
        <v>300</v>
      </c>
      <c r="K38" s="55" t="n">
        <v>300</v>
      </c>
      <c r="L38" s="55" t="n">
        <v>300</v>
      </c>
      <c r="M38" s="55" t="n">
        <v>300</v>
      </c>
      <c r="N38" s="55" t="n">
        <v>300</v>
      </c>
      <c r="O38" s="55" t="n">
        <v>300</v>
      </c>
      <c r="P38" s="55" t="n">
        <v>300</v>
      </c>
      <c r="Q38" s="55" t="n">
        <v>300</v>
      </c>
      <c r="R38" s="55" t="n">
        <v>300</v>
      </c>
      <c r="S38" s="126">
        <f>SUM(G38:R38)</f>
        <v/>
      </c>
      <c r="T38" s="126">
        <f>-(3600-S38)</f>
        <v/>
      </c>
      <c r="U38" s="127">
        <f>'Cotisation 2025'!U38</f>
        <v/>
      </c>
      <c r="V38" s="127">
        <f>'Cotisation 2025'!V38</f>
        <v/>
      </c>
      <c r="W38" s="267">
        <f>HYPERLINK("https://srbl.netlify.app/pdf/appel-A02.pdf", "📄 Voir PDF (A02)")</f>
        <v/>
      </c>
      <c r="X38" s="268">
        <f>HYPERLINK("https://wa.me/212661478244?text=%F0%9F%8F%A2%20%2ASYNDICAT%20R%C3%89SIDENCE%20BELLES%20LOGES%2A%0A%F0%9F%93%8D%20Rue%20Attabari%2C%20Quartier%20Les%20Princesses%2C%20Casablanca%0A%0ABonjour%20%2AYASSINE%20YATRIBI%2A%2C%0A%0AVeuillez%20trouver%20ci-dessous%20l%27appel%20de%20cotisations%20syndicales%20pour%20votre%20bien%20%28%2AAppartement%20N%C2%B028%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YASSINE%20YATRIBI_%0A%0AMerci%20pour%20votre%20pr%C3%A9cieuse%20collaboration.%0A%2ALe%20Bureau%20du%20Syndic%2A", "📲 Envoyer WhatsApp Direct")</f>
        <v/>
      </c>
      <c r="Y38" t="inlineStr">
        <is>
          <t>🏢 *SYNDICAT RÉSIDENCE BELLES LOGES*
📍 Rue Attabari, Quartier Les Princesses, Casablanca
Bonjour *YASSINE YATRIBI*,
Veuillez trouver ci-dessous l'appel de cotisations syndicales pour votre bien (*Appartement N°28*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YASSINE YATRIBI_
Merci pour votre précieuse collaboration.
*Le Bureau du Syndic*</t>
        </is>
      </c>
      <c r="Z38" s="267">
        <f>HYPERLINK("https://srbl.netlify.app/?client=A02", "👤 Espace Client (A02)")</f>
        <v/>
      </c>
    </row>
    <row r="39" ht="24.95" customHeight="1">
      <c r="B39" s="128" t="inlineStr">
        <is>
          <t>MAMOUNE KETTANI</t>
        </is>
      </c>
      <c r="C39" s="129" t="inlineStr">
        <is>
          <t>0661457372</t>
        </is>
      </c>
      <c r="D39" s="134" t="n">
        <v>45139</v>
      </c>
      <c r="E39" s="228" t="n"/>
      <c r="F39" s="227" t="inlineStr">
        <is>
          <t>Appartement N°29</t>
        </is>
      </c>
      <c r="G39" s="55" t="n">
        <v>300</v>
      </c>
      <c r="H39" s="55" t="n">
        <v>300</v>
      </c>
      <c r="I39" s="55" t="n">
        <v>300</v>
      </c>
      <c r="J39" s="55" t="n">
        <v>300</v>
      </c>
      <c r="K39" s="55" t="n">
        <v>300</v>
      </c>
      <c r="L39" s="55" t="n">
        <v>300</v>
      </c>
      <c r="M39" s="55" t="n">
        <v>300</v>
      </c>
      <c r="N39" s="55" t="n">
        <v>300</v>
      </c>
      <c r="O39" s="55" t="n">
        <v>300</v>
      </c>
      <c r="P39" s="55" t="n">
        <v>300</v>
      </c>
      <c r="Q39" s="55" t="n">
        <v>300</v>
      </c>
      <c r="R39" s="55" t="n">
        <v>300</v>
      </c>
      <c r="S39" s="126">
        <f>SUM(G39:R39)</f>
        <v/>
      </c>
      <c r="T39" s="126">
        <f>-(3600-S39)</f>
        <v/>
      </c>
      <c r="U39" s="127">
        <f>'Cotisation 2025'!U39</f>
        <v/>
      </c>
      <c r="V39" s="127">
        <f>'Cotisation 2025'!V39</f>
        <v/>
      </c>
      <c r="W39" s="267">
        <f>HYPERLINK("https://srbl.netlify.app/pdf/appel-A02.pdf", "📄 Voir PDF (A02)")</f>
        <v/>
      </c>
      <c r="X39" s="268">
        <f>HYPERLINK("https://wa.me/212661457372?text=%F0%9F%8F%A2%20%2ASYNDICAT%20R%C3%89SIDENCE%20BELLES%20LOGES%2A%0A%F0%9F%93%8D%20Rue%20Attabari%2C%20Quartier%20Les%20Princesses%2C%20Casablanca%0A%0ABonjour%20%2AMAMOUNE%20KETTANI%2A%2C%0A%0AVeuillez%20trouver%20ci-dessous%20l%27appel%20de%20cotisations%20syndicales%20pour%20votre%20bien%20%28%2AAppartement%20N%C2%B029%2A%20/%20A02%29%20%3A%0A%0A%F0%9F%93%85%20%2AP%C3%A9riode%20%3A%2A%20Ann%C3%A9e%202026%0A%F0%9F%92%B0%20%2ATotal%20%C3%A0%20r%C3%A9gler%20%3A%2A%20%2A3600%20DH%2A%0A%0A%F0%9F%93%84%20%2AT%C3%A9l%C3%A9charger%20votre%20document%20officiel%20%28PDF%29%20%3A%2A%0A%F0%9F%91%89%20https%3A//srbl.netlify.app/pdf/appel-A02.pdf%0A%0A%F0%9F%8F%A6%20%2ACoordonn%C3%A9es%20bancaires%20pour%20le%20virement%20%3A%2A%0A%E2%80%A2%20%2AB%C3%A9n%C3%A9ficiaire%20%3A%2A%20SYNDICAT%20RESIDENCE%20BELLES%20LOGES%0A%E2%80%A2%20%2ABanque%20%3A%2A%20BMCE%20/%20BANK%20OF%20AFRICA%0A%E2%80%A2%20%2ARIB%20%3A%2A%20%60011%20780%200000402100011545%2025%60%0A%0A_Motif%20%3A%20A02%20-%20MAMOUNE%20KETTANI_%0A%0AMerci%20pour%20votre%20pr%C3%A9cieuse%20collaboration.%0A%2ALe%20Bureau%20du%20Syndic%2A", "📲 Envoyer WhatsApp Direct")</f>
        <v/>
      </c>
      <c r="Y39" t="inlineStr">
        <is>
          <t>🏢 *SYNDICAT RÉSIDENCE BELLES LOGES*
📍 Rue Attabari, Quartier Les Princesses, Casablanca
Bonjour *MAMOUNE KETTANI*,
Veuillez trouver ci-dessous l'appel de cotisations syndicales pour votre bien (*Appartement N°29* / A02) :
📅 *Période :* Année 2026
💰 *Total à régler :* *3600 DH*
📄 *Télécharger votre document officiel (PDF) :*
👉 https://srbl.netlify.app/pdf/appel-A02.pdf
🏦 *Coordonnées bancaires pour le virement :*
• *Bénéficiaire :* SYNDICAT RESIDENCE BELLES LOGES
• *Banque :* BMCE / BANK OF AFRICA
• *RIB :* `011 780 0000402100011545 25`
_Motif : A02 - MAMOUNE KETTANI_
Merci pour votre précieuse collaboration.
*Le Bureau du Syndic*</t>
        </is>
      </c>
      <c r="Z39" s="267">
        <f>HYPERLINK("https://srbl.netlify.app/?client=A02", "👤 Espace Client (A02)")</f>
        <v/>
      </c>
    </row>
    <row r="40" ht="42" customHeight="1">
      <c r="B40" s="146" t="n"/>
      <c r="C40" s="146" t="n"/>
      <c r="D40" s="147" t="n"/>
      <c r="E40" s="232" t="inlineStr">
        <is>
          <t>Total des cotisations /mois</t>
        </is>
      </c>
      <c r="F40" s="222" t="n"/>
      <c r="G40" s="148">
        <f>SUM(G7:G39)</f>
        <v/>
      </c>
      <c r="H40" s="148">
        <f>SUM(H7:H39)</f>
        <v/>
      </c>
      <c r="I40" s="148">
        <f>SUM(I7:I39)</f>
        <v/>
      </c>
      <c r="J40" s="148">
        <f>SUM(J7:J39)</f>
        <v/>
      </c>
      <c r="K40" s="148">
        <f>SUM(K7:K39)</f>
        <v/>
      </c>
      <c r="L40" s="148">
        <f>SUM(L7:L39)</f>
        <v/>
      </c>
      <c r="M40" s="148">
        <f>SUM(M7:M39)</f>
        <v/>
      </c>
      <c r="N40" s="148">
        <f>SUM(N7:N39)</f>
        <v/>
      </c>
      <c r="O40" s="148">
        <f>SUM(O7:O39)</f>
        <v/>
      </c>
      <c r="P40" s="148">
        <f>SUM(P7:P39)</f>
        <v/>
      </c>
      <c r="Q40" s="148">
        <f>SUM(Q7:Q39)</f>
        <v/>
      </c>
      <c r="R40" s="148">
        <f>SUM(R7:R39)</f>
        <v/>
      </c>
      <c r="S40" s="233">
        <f>SUM(S7:S39)</f>
        <v/>
      </c>
      <c r="T40" s="233">
        <f>SUM(T7:T39)</f>
        <v/>
      </c>
      <c r="U40" s="233">
        <f>SUM(U7:U39)</f>
        <v/>
      </c>
      <c r="V40" s="233">
        <f>SUM(V7:V39)</f>
        <v/>
      </c>
    </row>
    <row r="41">
      <c r="B41" s="1" t="n"/>
      <c r="C41" s="1" t="n"/>
      <c r="D41" s="1" t="n"/>
      <c r="E41" s="1" t="n"/>
      <c r="F41" s="1" t="n"/>
      <c r="G41" s="7" t="n"/>
      <c r="H41" s="7" t="n"/>
      <c r="I41" s="7" t="n"/>
      <c r="J41" s="204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 ht="15" customHeight="1">
      <c r="B42" s="2" t="n"/>
      <c r="C42" s="2" t="n"/>
      <c r="D42" s="2" t="n"/>
      <c r="E42" s="8" t="inlineStr">
        <is>
          <t>                                              </t>
        </is>
      </c>
      <c r="F42" s="205" t="n"/>
    </row>
    <row r="43">
      <c r="B43" s="1" t="n"/>
      <c r="C43" s="1" t="n"/>
      <c r="D43" s="1" t="n"/>
      <c r="E43" s="2" t="n"/>
      <c r="F43" s="2" t="n"/>
      <c r="G43" s="2" t="n"/>
      <c r="H43" s="2" t="n"/>
      <c r="I43" s="2" t="n"/>
      <c r="J43" s="206" t="n"/>
      <c r="R43" s="1" t="n"/>
      <c r="U43" s="1" t="n"/>
    </row>
    <row r="45">
      <c r="S45" s="1" t="n"/>
      <c r="T45" s="1" t="n"/>
    </row>
  </sheetData>
  <autoFilter ref="B6:U40"/>
  <mergeCells count="11">
    <mergeCell ref="E35:E39"/>
    <mergeCell ref="E17:E22"/>
    <mergeCell ref="J43:Q43"/>
    <mergeCell ref="F42:U42"/>
    <mergeCell ref="E29:E34"/>
    <mergeCell ref="J41:K41"/>
    <mergeCell ref="E11:E16"/>
    <mergeCell ref="E7:E10"/>
    <mergeCell ref="E40:F40"/>
    <mergeCell ref="E5:R5"/>
    <mergeCell ref="E23:E28"/>
  </mergeCells>
  <conditionalFormatting sqref="G11:R39">
    <cfRule type="cellIs" priority="2" operator="greaterThan" dxfId="4">
      <formula>0</formula>
    </cfRule>
  </conditionalFormatting>
  <conditionalFormatting sqref="U7:V39">
    <cfRule type="cellIs" priority="4" operator="greaterThan" dxfId="0">
      <formula>0</formula>
    </cfRule>
  </conditionalFormatting>
  <conditionalFormatting sqref="U7:V40">
    <cfRule type="cellIs" priority="1" operator="lessThan" dxfId="5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AA43"/>
  <sheetViews>
    <sheetView zoomScale="40" zoomScaleNormal="40" workbookViewId="0">
      <selection activeCell="A42" sqref="A42:XFD43"/>
    </sheetView>
  </sheetViews>
  <sheetFormatPr baseColWidth="10" defaultColWidth="9.140625" defaultRowHeight="15"/>
  <cols>
    <col width="3.5703125" customWidth="1" min="1" max="1"/>
    <col width="50.7109375" bestFit="1" customWidth="1" min="2" max="2"/>
    <col width="28.7109375" bestFit="1" customWidth="1" min="3" max="3"/>
    <col width="8.7109375" customWidth="1" min="4" max="4"/>
    <col width="15.85546875" customWidth="1" min="5" max="5"/>
    <col width="9.28515625" customWidth="1" min="6" max="6"/>
    <col width="28" customWidth="1" min="7" max="7"/>
    <col width="17.28515625" bestFit="1" customWidth="1" min="8" max="10"/>
    <col width="16.42578125" bestFit="1" customWidth="1" min="11" max="11"/>
    <col width="16.140625" bestFit="1" customWidth="1" min="12" max="12"/>
    <col width="16.28515625" bestFit="1" customWidth="1" min="13" max="13"/>
    <col width="16.42578125" bestFit="1" customWidth="1" min="14" max="14"/>
    <col width="14.28515625" customWidth="1" min="15" max="15"/>
    <col width="15.140625" customWidth="1" min="16" max="16"/>
    <col width="16.85546875" customWidth="1" min="17" max="17"/>
    <col width="12.85546875" customWidth="1" min="18" max="18"/>
    <col width="13.140625" customWidth="1" min="19" max="19"/>
    <col width="21.5703125" bestFit="1" customWidth="1" min="20" max="20"/>
    <col width="21.42578125" customWidth="1" min="21" max="21"/>
    <col width="32.140625" bestFit="1" customWidth="1" min="22" max="22"/>
    <col width="9.5703125" bestFit="1" customWidth="1" min="27" max="27"/>
  </cols>
  <sheetData>
    <row r="1" ht="28.5" customHeight="1"/>
    <row r="3" ht="84.75" customHeight="1"/>
    <row r="4" ht="48.75" customHeight="1"/>
    <row r="5" ht="42.75" customHeight="1">
      <c r="B5" s="157" t="n"/>
      <c r="C5" s="157" t="n"/>
      <c r="D5" s="157" t="n"/>
      <c r="E5" s="157" t="n"/>
      <c r="F5" s="234" t="inlineStr">
        <is>
          <t>Résidence LES BELLES LOGES : Situation annuelle des cotisations syndicales  Année  2025</t>
        </is>
      </c>
      <c r="G5" s="235" t="n"/>
      <c r="H5" s="235" t="n"/>
      <c r="I5" s="235" t="n"/>
      <c r="J5" s="235" t="n"/>
      <c r="K5" s="235" t="n"/>
      <c r="L5" s="235" t="n"/>
      <c r="M5" s="235" t="n"/>
      <c r="N5" s="235" t="n"/>
      <c r="O5" s="235" t="n"/>
      <c r="P5" s="235" t="n"/>
      <c r="Q5" s="235" t="n"/>
      <c r="R5" s="235" t="n"/>
      <c r="S5" s="236" t="n"/>
      <c r="T5" s="237" t="inlineStr">
        <is>
          <t>Edité le :</t>
        </is>
      </c>
      <c r="U5" s="237" t="n"/>
      <c r="V5" s="159">
        <f>TODAY()</f>
        <v/>
      </c>
    </row>
    <row r="6" ht="44.25" customHeight="1">
      <c r="B6" s="160" t="inlineStr">
        <is>
          <t>Nom du copropriétaire</t>
        </is>
      </c>
      <c r="C6" s="160" t="inlineStr">
        <is>
          <t>N° de Tel</t>
        </is>
      </c>
      <c r="D6" s="160" t="inlineStr">
        <is>
          <t>whatsapp</t>
        </is>
      </c>
      <c r="E6" s="160" t="inlineStr">
        <is>
          <t>Date d'aquisition</t>
        </is>
      </c>
      <c r="F6" s="160" t="inlineStr">
        <is>
          <t>Etage</t>
        </is>
      </c>
      <c r="G6" s="161" t="inlineStr">
        <is>
          <t>N° du lot</t>
        </is>
      </c>
      <c r="H6" s="238" t="n">
        <v>45658</v>
      </c>
      <c r="I6" s="238" t="n">
        <v>45689</v>
      </c>
      <c r="J6" s="238" t="n">
        <v>45717</v>
      </c>
      <c r="K6" s="238" t="n">
        <v>45748</v>
      </c>
      <c r="L6" s="238" t="n">
        <v>45778</v>
      </c>
      <c r="M6" s="238" t="n">
        <v>45809</v>
      </c>
      <c r="N6" s="238" t="n">
        <v>45839</v>
      </c>
      <c r="O6" s="238" t="n">
        <v>45870</v>
      </c>
      <c r="P6" s="238" t="n">
        <v>45901</v>
      </c>
      <c r="Q6" s="238" t="n">
        <v>45931</v>
      </c>
      <c r="R6" s="238" t="n">
        <v>45962</v>
      </c>
      <c r="S6" s="238" t="n">
        <v>45992</v>
      </c>
      <c r="T6" s="239" t="inlineStr">
        <is>
          <t>Total des cotisations payées en 2025</t>
        </is>
      </c>
      <c r="U6" s="239" t="inlineStr">
        <is>
          <t>Reste à payer en 2025</t>
        </is>
      </c>
      <c r="V6" s="239" t="inlineStr">
        <is>
          <t>Les arriérés 2024</t>
        </is>
      </c>
    </row>
    <row r="7" ht="24.95" customHeight="1">
      <c r="B7" s="150" t="inlineStr">
        <is>
          <t>NMJ CAPITAL</t>
        </is>
      </c>
      <c r="C7" s="151" t="n"/>
      <c r="D7" s="152" t="inlineStr">
        <is>
          <t>ok</t>
        </is>
      </c>
      <c r="E7" s="153" t="n"/>
      <c r="F7" s="208" t="inlineStr">
        <is>
          <t>RDC</t>
        </is>
      </c>
      <c r="G7" s="240" t="inlineStr">
        <is>
          <t>Magasin N° 1</t>
        </is>
      </c>
      <c r="H7" s="121" t="n">
        <v>150</v>
      </c>
      <c r="I7" s="121" t="n">
        <v>150</v>
      </c>
      <c r="J7" s="121" t="n">
        <v>150</v>
      </c>
      <c r="K7" s="121" t="n">
        <v>150</v>
      </c>
      <c r="L7" s="121" t="n">
        <v>150</v>
      </c>
      <c r="M7" s="121" t="n">
        <v>150</v>
      </c>
      <c r="N7" s="121" t="n">
        <v>150</v>
      </c>
      <c r="O7" s="121" t="n">
        <v>150</v>
      </c>
      <c r="P7" s="121" t="n">
        <v>150</v>
      </c>
      <c r="Q7" s="121" t="n">
        <v>150</v>
      </c>
      <c r="R7" s="121" t="n">
        <v>150</v>
      </c>
      <c r="S7" s="121" t="n">
        <v>150</v>
      </c>
      <c r="T7" s="126">
        <f>SUM(H7:S7)</f>
        <v/>
      </c>
      <c r="U7" s="155">
        <f>-(1800-T7)</f>
        <v/>
      </c>
      <c r="V7" s="156">
        <f>'Cotisation 2024'!U7</f>
        <v/>
      </c>
    </row>
    <row r="8" ht="24.95" customHeight="1">
      <c r="B8" s="128" t="inlineStr">
        <is>
          <t>HIND DRIOUECH ET MR ABDELAH NACHIT</t>
        </is>
      </c>
      <c r="C8" s="129" t="inlineStr">
        <is>
          <t>0669791313</t>
        </is>
      </c>
      <c r="D8" s="129" t="inlineStr">
        <is>
          <t>ok</t>
        </is>
      </c>
      <c r="E8" s="130" t="n">
        <v>45313</v>
      </c>
      <c r="F8" s="219" t="n"/>
      <c r="G8" s="227" t="inlineStr">
        <is>
          <t>Magasin N° 2</t>
        </is>
      </c>
      <c r="H8" s="120" t="n">
        <v>150</v>
      </c>
      <c r="I8" s="120" t="n">
        <v>150</v>
      </c>
      <c r="J8" s="120" t="n">
        <v>150</v>
      </c>
      <c r="K8" s="120" t="n">
        <v>150</v>
      </c>
      <c r="L8" s="120" t="n">
        <v>150</v>
      </c>
      <c r="M8" s="120" t="n">
        <v>150</v>
      </c>
      <c r="N8" s="120" t="n">
        <v>150</v>
      </c>
      <c r="O8" s="120" t="n">
        <v>150</v>
      </c>
      <c r="P8" s="120" t="n">
        <v>150</v>
      </c>
      <c r="Q8" s="120" t="n">
        <v>150</v>
      </c>
      <c r="R8" s="120" t="n">
        <v>150</v>
      </c>
      <c r="S8" s="120" t="n">
        <v>150</v>
      </c>
      <c r="T8" s="126">
        <f>SUM(H8:S8)</f>
        <v/>
      </c>
      <c r="U8" s="126">
        <f>-(1800-T8)</f>
        <v/>
      </c>
      <c r="V8" s="127">
        <f>'Cotisation 2024'!U8</f>
        <v/>
      </c>
    </row>
    <row r="9" ht="24.75" customHeight="1">
      <c r="B9" s="122" t="inlineStr">
        <is>
          <t>NMJ CAPITAL</t>
        </is>
      </c>
      <c r="C9" s="129" t="n"/>
      <c r="D9" s="129" t="n"/>
      <c r="E9" s="130" t="n"/>
      <c r="F9" s="219" t="n"/>
      <c r="G9" s="227" t="inlineStr">
        <is>
          <t>Magasin N° 3</t>
        </is>
      </c>
      <c r="H9" s="120" t="n">
        <v>150</v>
      </c>
      <c r="I9" s="120" t="n">
        <v>150</v>
      </c>
      <c r="J9" s="120" t="n">
        <v>150</v>
      </c>
      <c r="K9" s="120" t="n">
        <v>150</v>
      </c>
      <c r="L9" s="120" t="n">
        <v>150</v>
      </c>
      <c r="M9" s="120" t="n">
        <v>150</v>
      </c>
      <c r="N9" s="120" t="n">
        <v>150</v>
      </c>
      <c r="O9" s="120" t="n">
        <v>150</v>
      </c>
      <c r="P9" s="120" t="n">
        <v>150</v>
      </c>
      <c r="Q9" s="120" t="n">
        <v>150</v>
      </c>
      <c r="R9" s="120" t="n">
        <v>150</v>
      </c>
      <c r="S9" s="120" t="n">
        <v>150</v>
      </c>
      <c r="T9" s="126">
        <f>SUM(H9:S9)</f>
        <v/>
      </c>
      <c r="U9" s="126">
        <f>-(1800-T9)</f>
        <v/>
      </c>
      <c r="V9" s="127">
        <f>'Cotisation 2024'!U9</f>
        <v/>
      </c>
    </row>
    <row r="10" ht="24.95" customHeight="1">
      <c r="B10" s="122" t="inlineStr">
        <is>
          <t>NMJ CAPITAL</t>
        </is>
      </c>
      <c r="C10" s="123" t="n"/>
      <c r="D10" s="124" t="inlineStr">
        <is>
          <t>ok</t>
        </is>
      </c>
      <c r="E10" s="130" t="n"/>
      <c r="F10" s="228" t="n"/>
      <c r="G10" s="227" t="inlineStr">
        <is>
          <t>Magasin N° 4</t>
        </is>
      </c>
      <c r="H10" s="120" t="n">
        <v>150</v>
      </c>
      <c r="I10" s="120" t="n">
        <v>150</v>
      </c>
      <c r="J10" s="120" t="n">
        <v>150</v>
      </c>
      <c r="K10" s="120" t="n">
        <v>150</v>
      </c>
      <c r="L10" s="120" t="n">
        <v>150</v>
      </c>
      <c r="M10" s="120" t="n">
        <v>150</v>
      </c>
      <c r="N10" s="120" t="n">
        <v>150</v>
      </c>
      <c r="O10" s="120" t="n">
        <v>150</v>
      </c>
      <c r="P10" s="120" t="n">
        <v>150</v>
      </c>
      <c r="Q10" s="120" t="n">
        <v>150</v>
      </c>
      <c r="R10" s="120" t="n">
        <v>150</v>
      </c>
      <c r="S10" s="120" t="n">
        <v>150</v>
      </c>
      <c r="T10" s="126">
        <f>SUM(H10:S10)</f>
        <v/>
      </c>
      <c r="U10" s="126">
        <f>-(1800-T10)</f>
        <v/>
      </c>
      <c r="V10" s="127">
        <f>'Cotisation 2024'!U10</f>
        <v/>
      </c>
    </row>
    <row r="11" ht="24.95" customHeight="1">
      <c r="B11" s="131" t="inlineStr">
        <is>
          <t>BENYAHYA IHSAN</t>
        </is>
      </c>
      <c r="C11" s="129" t="inlineStr">
        <is>
          <t>0662773532</t>
        </is>
      </c>
      <c r="D11" s="124" t="inlineStr">
        <is>
          <t>ok</t>
        </is>
      </c>
      <c r="E11" s="130" t="n">
        <v>44958</v>
      </c>
      <c r="F11" s="201" t="n">
        <v>1</v>
      </c>
      <c r="G11" s="227" t="inlineStr">
        <is>
          <t>Appartement N°1</t>
        </is>
      </c>
      <c r="H11" s="120" t="n">
        <v>300</v>
      </c>
      <c r="I11" s="120" t="n">
        <v>300</v>
      </c>
      <c r="J11" s="120" t="n">
        <v>300</v>
      </c>
      <c r="K11" s="132" t="n">
        <v>300</v>
      </c>
      <c r="L11" s="120" t="n">
        <v>300</v>
      </c>
      <c r="M11" s="120" t="n">
        <v>300</v>
      </c>
      <c r="N11" s="120" t="n">
        <v>300</v>
      </c>
      <c r="O11" s="120" t="n">
        <v>300</v>
      </c>
      <c r="P11" s="120" t="n">
        <v>300</v>
      </c>
      <c r="Q11" s="120" t="n">
        <v>300</v>
      </c>
      <c r="R11" s="120" t="n">
        <v>300</v>
      </c>
      <c r="S11" s="120" t="n">
        <v>300</v>
      </c>
      <c r="T11" s="126">
        <f>SUM(H11:S11)</f>
        <v/>
      </c>
      <c r="U11" s="126">
        <f>-(3600-T11)</f>
        <v/>
      </c>
      <c r="V11" s="127">
        <f>'Cotisation 2024'!U11</f>
        <v/>
      </c>
    </row>
    <row r="12" ht="24.95" customHeight="1">
      <c r="B12" s="133" t="inlineStr">
        <is>
          <t>GHALLAB HAKIM</t>
        </is>
      </c>
      <c r="C12" s="129" t="inlineStr">
        <is>
          <t>0661411823</t>
        </is>
      </c>
      <c r="D12" s="124" t="inlineStr">
        <is>
          <t>ok</t>
        </is>
      </c>
      <c r="E12" s="130" t="n">
        <v>44813</v>
      </c>
      <c r="F12" s="219" t="n"/>
      <c r="G12" s="227" t="inlineStr">
        <is>
          <t>Appartement N°2</t>
        </is>
      </c>
      <c r="H12" s="120" t="n">
        <v>300</v>
      </c>
      <c r="I12" s="120" t="n">
        <v>300</v>
      </c>
      <c r="J12" s="120" t="n">
        <v>300</v>
      </c>
      <c r="K12" s="120" t="n">
        <v>300</v>
      </c>
      <c r="L12" s="120" t="n">
        <v>300</v>
      </c>
      <c r="M12" s="120" t="n">
        <v>300</v>
      </c>
      <c r="N12" s="120" t="n">
        <v>300</v>
      </c>
      <c r="O12" s="120" t="n">
        <v>300</v>
      </c>
      <c r="P12" s="120" t="n">
        <v>300</v>
      </c>
      <c r="Q12" s="120" t="n">
        <v>300</v>
      </c>
      <c r="R12" s="120" t="n">
        <v>300</v>
      </c>
      <c r="S12" s="120" t="n">
        <v>300</v>
      </c>
      <c r="T12" s="126">
        <f>SUM(H12:S12)</f>
        <v/>
      </c>
      <c r="U12" s="126">
        <f>-(3600-T12)</f>
        <v/>
      </c>
      <c r="V12" s="127">
        <f>'Cotisation 2024'!U12</f>
        <v/>
      </c>
    </row>
    <row r="13" ht="28.15" customHeight="1">
      <c r="B13" s="128" t="inlineStr">
        <is>
          <t>NADIL IMANE</t>
        </is>
      </c>
      <c r="C13" s="129" t="inlineStr">
        <is>
          <t>061908 2870</t>
        </is>
      </c>
      <c r="D13" s="124" t="inlineStr">
        <is>
          <t>ok</t>
        </is>
      </c>
      <c r="E13" s="134" t="n">
        <v>44881</v>
      </c>
      <c r="F13" s="219" t="n"/>
      <c r="G13" s="227" t="inlineStr">
        <is>
          <t>Appartement N°3</t>
        </is>
      </c>
      <c r="H13" s="120" t="n">
        <v>300</v>
      </c>
      <c r="I13" s="120" t="n">
        <v>300</v>
      </c>
      <c r="J13" s="120" t="n">
        <v>300</v>
      </c>
      <c r="K13" s="120" t="n">
        <v>300</v>
      </c>
      <c r="L13" s="120" t="n">
        <v>300</v>
      </c>
      <c r="M13" s="120" t="n">
        <v>300</v>
      </c>
      <c r="N13" s="120" t="n">
        <v>300</v>
      </c>
      <c r="O13" s="120" t="n">
        <v>300</v>
      </c>
      <c r="P13" s="120" t="n">
        <v>300</v>
      </c>
      <c r="Q13" s="120" t="n">
        <v>300</v>
      </c>
      <c r="R13" s="120" t="n">
        <v>300</v>
      </c>
      <c r="S13" s="120" t="n">
        <v>300</v>
      </c>
      <c r="T13" s="126">
        <f>SUM(H13:S13)</f>
        <v/>
      </c>
      <c r="U13" s="126">
        <f>-(3600-T13)</f>
        <v/>
      </c>
      <c r="V13" s="127">
        <f>'Cotisation 2024'!U13</f>
        <v/>
      </c>
    </row>
    <row r="14" ht="27.6" customHeight="1">
      <c r="B14" s="128" t="inlineStr">
        <is>
          <t>INSAF BASSIL</t>
        </is>
      </c>
      <c r="C14" s="129" t="inlineStr">
        <is>
          <t>0661377432</t>
        </is>
      </c>
      <c r="D14" s="129" t="inlineStr">
        <is>
          <t>-</t>
        </is>
      </c>
      <c r="E14" s="134" t="n">
        <v>44838</v>
      </c>
      <c r="F14" s="219" t="n"/>
      <c r="G14" s="227" t="inlineStr">
        <is>
          <t>Appartement N°4</t>
        </is>
      </c>
      <c r="H14" s="120" t="n">
        <v>300</v>
      </c>
      <c r="I14" s="120" t="n">
        <v>300</v>
      </c>
      <c r="J14" s="120" t="n">
        <v>300</v>
      </c>
      <c r="K14" s="120" t="n">
        <v>300</v>
      </c>
      <c r="L14" s="120" t="n">
        <v>300</v>
      </c>
      <c r="M14" s="120" t="n">
        <v>300</v>
      </c>
      <c r="N14" s="120" t="n">
        <v>150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126">
        <f>SUM(H14:S14)</f>
        <v/>
      </c>
      <c r="U14" s="126">
        <f>-(3600-T14)</f>
        <v/>
      </c>
      <c r="V14" s="127">
        <f>'Cotisation 2024'!U14</f>
        <v/>
      </c>
    </row>
    <row r="15" ht="24.6" customHeight="1">
      <c r="B15" s="135" t="inlineStr">
        <is>
          <t>MME TORRES HIND</t>
        </is>
      </c>
      <c r="C15" s="129" t="inlineStr">
        <is>
          <t>00447551433285</t>
        </is>
      </c>
      <c r="D15" s="124" t="inlineStr">
        <is>
          <t>ok</t>
        </is>
      </c>
      <c r="E15" s="134" t="n">
        <v>44833</v>
      </c>
      <c r="F15" s="219" t="n"/>
      <c r="G15" s="227" t="inlineStr">
        <is>
          <t>Appartement N°5</t>
        </is>
      </c>
      <c r="H15" s="120" t="n">
        <v>300</v>
      </c>
      <c r="I15" s="120" t="n">
        <v>300</v>
      </c>
      <c r="J15" s="120" t="n">
        <v>300</v>
      </c>
      <c r="K15" s="120" t="n">
        <v>300</v>
      </c>
      <c r="L15" s="120" t="n">
        <v>300</v>
      </c>
      <c r="M15" s="120" t="n">
        <v>300</v>
      </c>
      <c r="N15" s="120" t="n">
        <v>300</v>
      </c>
      <c r="O15" s="120" t="n">
        <v>300</v>
      </c>
      <c r="P15" s="120" t="n">
        <v>300</v>
      </c>
      <c r="Q15" s="120" t="n">
        <v>300</v>
      </c>
      <c r="R15" s="120" t="n">
        <v>300</v>
      </c>
      <c r="S15" s="120" t="n">
        <v>300</v>
      </c>
      <c r="T15" s="126">
        <f>SUM(H15:S15)</f>
        <v/>
      </c>
      <c r="U15" s="126">
        <f>-(3600-T15)</f>
        <v/>
      </c>
      <c r="V15" s="127">
        <f>'Cotisation 2024'!U15</f>
        <v/>
      </c>
    </row>
    <row r="16" ht="24.95" customHeight="1">
      <c r="B16" s="136" t="inlineStr">
        <is>
          <t xml:space="preserve">NMJ CAPITAL / BEN HADDOUCH YOUNES </t>
        </is>
      </c>
      <c r="C16" s="129" t="inlineStr">
        <is>
          <t>0669281802</t>
        </is>
      </c>
      <c r="D16" s="124" t="inlineStr">
        <is>
          <t>ok</t>
        </is>
      </c>
      <c r="E16" s="134" t="n">
        <v>45387</v>
      </c>
      <c r="F16" s="228" t="n"/>
      <c r="G16" s="227" t="inlineStr">
        <is>
          <t>Appartement N°6</t>
        </is>
      </c>
      <c r="H16" s="120" t="n">
        <v>300</v>
      </c>
      <c r="I16" s="120" t="n">
        <v>300</v>
      </c>
      <c r="J16" s="120" t="n">
        <v>300</v>
      </c>
      <c r="K16" s="120" t="n">
        <v>300</v>
      </c>
      <c r="L16" s="120" t="n">
        <v>300</v>
      </c>
      <c r="M16" s="120" t="n">
        <v>300</v>
      </c>
      <c r="N16" s="120" t="n">
        <v>300</v>
      </c>
      <c r="O16" s="120" t="n">
        <v>300</v>
      </c>
      <c r="P16" s="120" t="n">
        <v>300</v>
      </c>
      <c r="Q16" s="120" t="n">
        <v>300</v>
      </c>
      <c r="R16" s="120" t="n">
        <v>300</v>
      </c>
      <c r="S16" s="120" t="n">
        <v>300</v>
      </c>
      <c r="T16" s="126">
        <f>SUM(H16:S16)</f>
        <v/>
      </c>
      <c r="U16" s="126">
        <f>-(3600-T16)</f>
        <v/>
      </c>
      <c r="V16" s="127">
        <f>'Cotisation 2024'!U16</f>
        <v/>
      </c>
    </row>
    <row r="17" ht="24.95" customHeight="1">
      <c r="B17" s="131" t="inlineStr">
        <is>
          <t>BENYAHYA IHSAN</t>
        </is>
      </c>
      <c r="C17" s="129" t="inlineStr">
        <is>
          <t>0662773532</t>
        </is>
      </c>
      <c r="D17" s="124" t="inlineStr">
        <is>
          <t>ok</t>
        </is>
      </c>
      <c r="E17" s="134" t="n">
        <v>44958</v>
      </c>
      <c r="F17" s="201" t="n">
        <v>2</v>
      </c>
      <c r="G17" s="227" t="inlineStr">
        <is>
          <t>Appartement N°7</t>
        </is>
      </c>
      <c r="H17" s="120" t="n">
        <v>300</v>
      </c>
      <c r="I17" s="120" t="n">
        <v>300</v>
      </c>
      <c r="J17" s="120" t="n">
        <v>300</v>
      </c>
      <c r="K17" s="120" t="n">
        <v>300</v>
      </c>
      <c r="L17" s="120" t="n">
        <v>300</v>
      </c>
      <c r="M17" s="120" t="n">
        <v>300</v>
      </c>
      <c r="N17" s="120" t="n">
        <v>300</v>
      </c>
      <c r="O17" s="120" t="n">
        <v>300</v>
      </c>
      <c r="P17" s="120" t="n">
        <v>300</v>
      </c>
      <c r="Q17" s="120" t="n">
        <v>300</v>
      </c>
      <c r="R17" s="120" t="n">
        <v>300</v>
      </c>
      <c r="S17" s="120" t="n">
        <v>300</v>
      </c>
      <c r="T17" s="126">
        <f>SUM(H17:S17)</f>
        <v/>
      </c>
      <c r="U17" s="126">
        <f>-(3600-T17)</f>
        <v/>
      </c>
      <c r="V17" s="127">
        <f>'Cotisation 2024'!U17</f>
        <v/>
      </c>
    </row>
    <row r="18" ht="24.95" customHeight="1">
      <c r="B18" s="128" t="inlineStr">
        <is>
          <t>MR LAHBABI NIZAR</t>
        </is>
      </c>
      <c r="C18" s="129" t="inlineStr">
        <is>
          <t>0661286870</t>
        </is>
      </c>
      <c r="D18" s="124" t="inlineStr">
        <is>
          <t>ok</t>
        </is>
      </c>
      <c r="E18" s="134" t="n">
        <v>44813</v>
      </c>
      <c r="F18" s="219" t="n"/>
      <c r="G18" s="227" t="inlineStr">
        <is>
          <t>Appartement N°8</t>
        </is>
      </c>
      <c r="H18" s="120" t="n">
        <v>300</v>
      </c>
      <c r="I18" s="120" t="n">
        <v>300</v>
      </c>
      <c r="J18" s="120" t="n">
        <v>300</v>
      </c>
      <c r="K18" s="120" t="n">
        <v>300</v>
      </c>
      <c r="L18" s="120" t="n">
        <v>300</v>
      </c>
      <c r="M18" s="120" t="n">
        <v>300</v>
      </c>
      <c r="N18" s="120" t="n">
        <v>300</v>
      </c>
      <c r="O18" s="120" t="n">
        <v>300</v>
      </c>
      <c r="P18" s="120" t="n">
        <v>300</v>
      </c>
      <c r="Q18" s="120" t="n">
        <v>300</v>
      </c>
      <c r="R18" s="120" t="n">
        <v>300</v>
      </c>
      <c r="S18" s="120" t="n">
        <v>300</v>
      </c>
      <c r="T18" s="126">
        <f>SUM(H18:S18)</f>
        <v/>
      </c>
      <c r="U18" s="126">
        <f>-(3600-T18)</f>
        <v/>
      </c>
      <c r="V18" s="127">
        <f>'Cotisation 2024'!U18</f>
        <v/>
      </c>
    </row>
    <row r="19" ht="24.95" customHeight="1">
      <c r="B19" s="128" t="inlineStr">
        <is>
          <t>ASRAGUIS ABDELGHANI</t>
        </is>
      </c>
      <c r="C19" s="129" t="inlineStr">
        <is>
          <t>0661936094</t>
        </is>
      </c>
      <c r="D19" s="124" t="inlineStr">
        <is>
          <t>ok</t>
        </is>
      </c>
      <c r="E19" s="134" t="n">
        <v>44896</v>
      </c>
      <c r="F19" s="219" t="n"/>
      <c r="G19" s="227" t="inlineStr">
        <is>
          <t>Appartement N°9</t>
        </is>
      </c>
      <c r="H19" s="120" t="n">
        <v>300</v>
      </c>
      <c r="I19" s="120" t="n">
        <v>300</v>
      </c>
      <c r="J19" s="120" t="n">
        <v>300</v>
      </c>
      <c r="K19" s="120" t="n">
        <v>300</v>
      </c>
      <c r="L19" s="120" t="n">
        <v>300</v>
      </c>
      <c r="M19" s="120" t="n">
        <v>300</v>
      </c>
      <c r="N19" s="120" t="n">
        <v>300</v>
      </c>
      <c r="O19" s="120" t="n">
        <v>300</v>
      </c>
      <c r="P19" s="120" t="n">
        <v>300</v>
      </c>
      <c r="Q19" s="120" t="n">
        <v>300</v>
      </c>
      <c r="R19" s="120" t="n">
        <v>300</v>
      </c>
      <c r="S19" s="120" t="n">
        <v>300</v>
      </c>
      <c r="T19" s="126">
        <f>SUM(H19:S19)</f>
        <v/>
      </c>
      <c r="U19" s="126">
        <f>-(3600-T19)</f>
        <v/>
      </c>
      <c r="V19" s="127">
        <f>'Cotisation 2024'!U19</f>
        <v/>
      </c>
    </row>
    <row r="20" ht="24.95" customHeight="1">
      <c r="B20" s="137" t="inlineStr">
        <is>
          <t>GHALLAB MOUHSSINE</t>
        </is>
      </c>
      <c r="C20" s="129" t="inlineStr">
        <is>
          <t>0661157305</t>
        </is>
      </c>
      <c r="D20" s="124" t="inlineStr">
        <is>
          <t>ok</t>
        </is>
      </c>
      <c r="E20" s="134" t="n">
        <v>44958</v>
      </c>
      <c r="F20" s="219" t="n"/>
      <c r="G20" s="227" t="inlineStr">
        <is>
          <t>Appartement N°10</t>
        </is>
      </c>
      <c r="H20" s="120" t="n">
        <v>300</v>
      </c>
      <c r="I20" s="120" t="n">
        <v>300</v>
      </c>
      <c r="J20" s="120" t="n">
        <v>300</v>
      </c>
      <c r="K20" s="120" t="n">
        <v>300</v>
      </c>
      <c r="L20" s="120" t="n">
        <v>300</v>
      </c>
      <c r="M20" s="120" t="n">
        <v>300</v>
      </c>
      <c r="N20" s="120" t="n">
        <v>300</v>
      </c>
      <c r="O20" s="120" t="n">
        <v>300</v>
      </c>
      <c r="P20" s="120" t="n">
        <v>300</v>
      </c>
      <c r="Q20" s="120" t="n">
        <v>300</v>
      </c>
      <c r="R20" s="120" t="n">
        <v>300</v>
      </c>
      <c r="S20" s="120" t="n">
        <v>300</v>
      </c>
      <c r="T20" s="126">
        <f>SUM(H20:S20)</f>
        <v/>
      </c>
      <c r="U20" s="126">
        <f>-(3600-T20)</f>
        <v/>
      </c>
      <c r="V20" s="127">
        <f>'Cotisation 2024'!U20</f>
        <v/>
      </c>
    </row>
    <row r="21" ht="24.95" customHeight="1">
      <c r="B21" s="135" t="inlineStr">
        <is>
          <t>MME TORRES HIND</t>
        </is>
      </c>
      <c r="C21" s="129" t="inlineStr">
        <is>
          <t>00447551433285</t>
        </is>
      </c>
      <c r="D21" s="124" t="inlineStr">
        <is>
          <t>ok</t>
        </is>
      </c>
      <c r="E21" s="134" t="n">
        <v>44833</v>
      </c>
      <c r="F21" s="219" t="n"/>
      <c r="G21" s="227" t="inlineStr">
        <is>
          <t>Appartement N°11</t>
        </is>
      </c>
      <c r="H21" s="120" t="n">
        <v>300</v>
      </c>
      <c r="I21" s="120" t="n">
        <v>300</v>
      </c>
      <c r="J21" s="120" t="n">
        <v>300</v>
      </c>
      <c r="K21" s="120" t="n">
        <v>300</v>
      </c>
      <c r="L21" s="120" t="n">
        <v>300</v>
      </c>
      <c r="M21" s="120" t="n">
        <v>300</v>
      </c>
      <c r="N21" s="120" t="n">
        <v>300</v>
      </c>
      <c r="O21" s="120" t="n">
        <v>300</v>
      </c>
      <c r="P21" s="120" t="n">
        <v>300</v>
      </c>
      <c r="Q21" s="120" t="n">
        <v>300</v>
      </c>
      <c r="R21" s="120" t="n">
        <v>300</v>
      </c>
      <c r="S21" s="120" t="n">
        <v>300</v>
      </c>
      <c r="T21" s="126">
        <f>SUM(H21:S21)</f>
        <v/>
      </c>
      <c r="U21" s="126">
        <f>-(3600-T21)</f>
        <v/>
      </c>
      <c r="V21" s="127">
        <f>'Cotisation 2024'!U21</f>
        <v/>
      </c>
    </row>
    <row r="22" ht="24" customHeight="1">
      <c r="B22" s="128" t="inlineStr">
        <is>
          <t>ELMOSTAFA EL GUESSAB</t>
        </is>
      </c>
      <c r="C22" s="129" t="inlineStr">
        <is>
          <t>0705262264</t>
        </is>
      </c>
      <c r="D22" s="129" t="inlineStr">
        <is>
          <t>-</t>
        </is>
      </c>
      <c r="E22" s="134" t="n">
        <v>45139</v>
      </c>
      <c r="F22" s="228" t="n"/>
      <c r="G22" s="227" t="inlineStr">
        <is>
          <t>Appartement N°12</t>
        </is>
      </c>
      <c r="H22" s="55" t="n">
        <v>300</v>
      </c>
      <c r="I22" s="55" t="n">
        <v>300</v>
      </c>
      <c r="J22" s="55" t="n">
        <v>300</v>
      </c>
      <c r="K22" s="55" t="n">
        <v>300</v>
      </c>
      <c r="L22" s="55" t="n">
        <v>300</v>
      </c>
      <c r="M22" s="55" t="n">
        <v>300</v>
      </c>
      <c r="N22" s="55" t="n">
        <v>300</v>
      </c>
      <c r="O22" s="55" t="n">
        <v>300</v>
      </c>
      <c r="P22" s="55" t="n">
        <v>300</v>
      </c>
      <c r="Q22" s="55" t="n">
        <v>300</v>
      </c>
      <c r="R22" s="55" t="n">
        <v>300</v>
      </c>
      <c r="S22" s="55" t="n">
        <v>300</v>
      </c>
      <c r="T22" s="126">
        <f>SUM(H22:S22)</f>
        <v/>
      </c>
      <c r="U22" s="126">
        <f>-(3600-T22)</f>
        <v/>
      </c>
      <c r="V22" s="127">
        <f>'Cotisation 2024'!U22</f>
        <v/>
      </c>
    </row>
    <row r="23" ht="24.95" customHeight="1">
      <c r="B23" s="138" t="inlineStr">
        <is>
          <t xml:space="preserve">DOUKKALI BOUALAM ZINEB / ABDELHADI NADIFI </t>
        </is>
      </c>
      <c r="C23" s="139" t="inlineStr">
        <is>
          <t>0661214852 / 0664908843</t>
        </is>
      </c>
      <c r="D23" s="129" t="inlineStr">
        <is>
          <t>-</t>
        </is>
      </c>
      <c r="E23" s="134" t="n">
        <v>44881</v>
      </c>
      <c r="F23" s="201" t="n">
        <v>3</v>
      </c>
      <c r="G23" s="227" t="inlineStr">
        <is>
          <t>Appartement N°13</t>
        </is>
      </c>
      <c r="H23" s="120" t="n">
        <v>300</v>
      </c>
      <c r="I23" s="120" t="n">
        <v>300</v>
      </c>
      <c r="J23" s="120" t="n">
        <v>300</v>
      </c>
      <c r="K23" s="132" t="n">
        <v>300</v>
      </c>
      <c r="L23" s="120" t="n">
        <v>300</v>
      </c>
      <c r="M23" s="120" t="n">
        <v>300</v>
      </c>
      <c r="N23" s="120" t="n">
        <v>300</v>
      </c>
      <c r="O23" s="120" t="n">
        <v>300</v>
      </c>
      <c r="P23" s="120" t="n">
        <v>300</v>
      </c>
      <c r="Q23" s="120" t="n">
        <v>300</v>
      </c>
      <c r="R23" s="120" t="n">
        <v>300</v>
      </c>
      <c r="S23" s="120" t="n">
        <v>300</v>
      </c>
      <c r="T23" s="126">
        <f>SUM(H23:S23)</f>
        <v/>
      </c>
      <c r="U23" s="126">
        <f>-(3600-T23)</f>
        <v/>
      </c>
      <c r="V23" s="127">
        <f>'Cotisation 2024'!U23</f>
        <v/>
      </c>
    </row>
    <row r="24" ht="24.95" customFormat="1" customHeight="1" s="34">
      <c r="B24" s="140" t="inlineStr">
        <is>
          <t>GHALLAB HAMID</t>
        </is>
      </c>
      <c r="C24" s="139" t="inlineStr">
        <is>
          <t>0661311165 / 0666422524</t>
        </is>
      </c>
      <c r="D24" s="141" t="inlineStr">
        <is>
          <t>ok</t>
        </is>
      </c>
      <c r="E24" s="142" t="n">
        <v>44958</v>
      </c>
      <c r="F24" s="219" t="n"/>
      <c r="G24" s="227" t="inlineStr">
        <is>
          <t>Appartement N°14</t>
        </is>
      </c>
      <c r="H24" s="55" t="n">
        <v>300</v>
      </c>
      <c r="I24" s="55" t="n">
        <v>300</v>
      </c>
      <c r="J24" s="55" t="n">
        <v>300</v>
      </c>
      <c r="K24" s="55" t="n">
        <v>300</v>
      </c>
      <c r="L24" s="55" t="n">
        <v>300</v>
      </c>
      <c r="M24" s="55" t="n">
        <v>300</v>
      </c>
      <c r="N24" s="55" t="n">
        <v>300</v>
      </c>
      <c r="O24" s="55" t="n">
        <v>300</v>
      </c>
      <c r="P24" s="55" t="n">
        <v>300</v>
      </c>
      <c r="Q24" s="55" t="n">
        <v>300</v>
      </c>
      <c r="R24" s="55" t="n">
        <v>300</v>
      </c>
      <c r="S24" s="55" t="n">
        <v>300</v>
      </c>
      <c r="T24" s="126">
        <f>SUM(H24:S24)</f>
        <v/>
      </c>
      <c r="U24" s="126">
        <f>-(3600-T24)</f>
        <v/>
      </c>
      <c r="V24" s="127">
        <f>'Cotisation 2024'!U24</f>
        <v/>
      </c>
    </row>
    <row r="25" ht="24.95" customHeight="1">
      <c r="B25" s="128" t="inlineStr">
        <is>
          <t>DRISS BENNANI</t>
        </is>
      </c>
      <c r="C25" s="129" t="inlineStr">
        <is>
          <t>0661317078</t>
        </is>
      </c>
      <c r="D25" s="124" t="inlineStr">
        <is>
          <t>ok</t>
        </is>
      </c>
      <c r="E25" s="134" t="n">
        <v>44854</v>
      </c>
      <c r="F25" s="219" t="n"/>
      <c r="G25" s="227" t="inlineStr">
        <is>
          <t>Appartement N°15</t>
        </is>
      </c>
      <c r="H25" s="55" t="n">
        <v>300</v>
      </c>
      <c r="I25" s="55" t="n">
        <v>300</v>
      </c>
      <c r="J25" s="55" t="n">
        <v>300</v>
      </c>
      <c r="K25" s="55" t="n">
        <v>300</v>
      </c>
      <c r="L25" s="55" t="n">
        <v>300</v>
      </c>
      <c r="M25" s="55" t="n">
        <v>300</v>
      </c>
      <c r="N25" s="55" t="n">
        <v>300</v>
      </c>
      <c r="O25" s="55" t="n">
        <v>300</v>
      </c>
      <c r="P25" s="55" t="n">
        <v>300</v>
      </c>
      <c r="Q25" s="55" t="n">
        <v>300</v>
      </c>
      <c r="R25" s="55" t="n">
        <v>300</v>
      </c>
      <c r="S25" s="55" t="n">
        <v>300</v>
      </c>
      <c r="T25" s="126">
        <f>SUM(H25:S25)</f>
        <v/>
      </c>
      <c r="U25" s="126">
        <f>-(3600-T25)</f>
        <v/>
      </c>
      <c r="V25" s="127">
        <f>'Cotisation 2024'!U25</f>
        <v/>
      </c>
    </row>
    <row r="26" ht="24.95" customHeight="1">
      <c r="B26" s="137" t="inlineStr">
        <is>
          <t>GHALLAB MOUHSSINE</t>
        </is>
      </c>
      <c r="C26" s="129" t="inlineStr">
        <is>
          <t>0661157305</t>
        </is>
      </c>
      <c r="D26" s="124" t="inlineStr">
        <is>
          <t>ok</t>
        </is>
      </c>
      <c r="E26" s="134" t="n">
        <v>44958</v>
      </c>
      <c r="F26" s="219" t="n"/>
      <c r="G26" s="227" t="inlineStr">
        <is>
          <t>Appartement N°16</t>
        </is>
      </c>
      <c r="H26" s="120" t="n">
        <v>300</v>
      </c>
      <c r="I26" s="120" t="n">
        <v>300</v>
      </c>
      <c r="J26" s="120" t="n">
        <v>300</v>
      </c>
      <c r="K26" s="120" t="n">
        <v>300</v>
      </c>
      <c r="L26" s="120" t="n">
        <v>300</v>
      </c>
      <c r="M26" s="120" t="n">
        <v>300</v>
      </c>
      <c r="N26" s="120" t="n">
        <v>300</v>
      </c>
      <c r="O26" s="120" t="n">
        <v>300</v>
      </c>
      <c r="P26" s="120" t="n">
        <v>300</v>
      </c>
      <c r="Q26" s="120" t="n">
        <v>300</v>
      </c>
      <c r="R26" s="120" t="n">
        <v>300</v>
      </c>
      <c r="S26" s="120" t="n">
        <v>300</v>
      </c>
      <c r="T26" s="126">
        <f>SUM(H26:S26)</f>
        <v/>
      </c>
      <c r="U26" s="126">
        <f>-(3600-T26)</f>
        <v/>
      </c>
      <c r="V26" s="127">
        <f>'Cotisation 2024'!U26</f>
        <v/>
      </c>
      <c r="AA26" s="231">
        <f>V40+2640</f>
        <v/>
      </c>
    </row>
    <row r="27" ht="24.95" customHeight="1">
      <c r="B27" s="143" t="inlineStr">
        <is>
          <t>GHALLAB HAMID</t>
        </is>
      </c>
      <c r="C27" s="139" t="inlineStr">
        <is>
          <t>0661311165 / 0666422524</t>
        </is>
      </c>
      <c r="D27" s="124" t="inlineStr">
        <is>
          <t>ok</t>
        </is>
      </c>
      <c r="E27" s="134" t="n">
        <v>44958</v>
      </c>
      <c r="F27" s="219" t="n"/>
      <c r="G27" s="227" t="inlineStr">
        <is>
          <t>Appartement N°17</t>
        </is>
      </c>
      <c r="H27" s="55" t="n">
        <v>300</v>
      </c>
      <c r="I27" s="55" t="n">
        <v>300</v>
      </c>
      <c r="J27" s="55" t="n">
        <v>300</v>
      </c>
      <c r="K27" s="55" t="n">
        <v>300</v>
      </c>
      <c r="L27" s="55" t="n">
        <v>300</v>
      </c>
      <c r="M27" s="55" t="n">
        <v>300</v>
      </c>
      <c r="N27" s="55" t="n">
        <v>300</v>
      </c>
      <c r="O27" s="55" t="n">
        <v>300</v>
      </c>
      <c r="P27" s="55" t="n">
        <v>300</v>
      </c>
      <c r="Q27" s="55" t="n">
        <v>300</v>
      </c>
      <c r="R27" s="55" t="n">
        <v>300</v>
      </c>
      <c r="S27" s="55" t="n">
        <v>300</v>
      </c>
      <c r="T27" s="126">
        <f>SUM(H27:S27)</f>
        <v/>
      </c>
      <c r="U27" s="126">
        <f>-(3600-T27)</f>
        <v/>
      </c>
      <c r="V27" s="127">
        <f>'Cotisation 2024'!U27</f>
        <v/>
      </c>
    </row>
    <row r="28" ht="24.95" customHeight="1">
      <c r="B28" s="144" t="inlineStr">
        <is>
          <t>MME BEN BRAHIM ANDALOUSSI FATTOUMA</t>
        </is>
      </c>
      <c r="C28" s="129" t="inlineStr">
        <is>
          <t>0661324710</t>
        </is>
      </c>
      <c r="D28" s="124" t="inlineStr">
        <is>
          <t>ok</t>
        </is>
      </c>
      <c r="E28" s="134" t="n">
        <v>45108</v>
      </c>
      <c r="F28" s="228" t="n"/>
      <c r="G28" s="227" t="inlineStr">
        <is>
          <t>Appartement N°18</t>
        </is>
      </c>
      <c r="H28" s="55" t="n">
        <v>300</v>
      </c>
      <c r="I28" s="55" t="n">
        <v>300</v>
      </c>
      <c r="J28" s="55" t="n">
        <v>300</v>
      </c>
      <c r="K28" s="55" t="n">
        <v>300</v>
      </c>
      <c r="L28" s="55" t="n">
        <v>300</v>
      </c>
      <c r="M28" s="55" t="n">
        <v>300</v>
      </c>
      <c r="N28" s="55" t="n">
        <v>300</v>
      </c>
      <c r="O28" s="55" t="n">
        <v>300</v>
      </c>
      <c r="P28" s="55" t="n">
        <v>300</v>
      </c>
      <c r="Q28" s="55" t="n">
        <v>300</v>
      </c>
      <c r="R28" s="55" t="n">
        <v>300</v>
      </c>
      <c r="S28" s="55" t="n">
        <v>300</v>
      </c>
      <c r="T28" s="126">
        <f>SUM(H28:S28)</f>
        <v/>
      </c>
      <c r="U28" s="126">
        <f>-(3600-T28)</f>
        <v/>
      </c>
      <c r="V28" s="127">
        <f>'Cotisation 2024'!U28</f>
        <v/>
      </c>
    </row>
    <row r="29" ht="24.95" customHeight="1">
      <c r="B29" s="137" t="inlineStr">
        <is>
          <t>GHALLAB MOUHSSINE</t>
        </is>
      </c>
      <c r="C29" s="129" t="inlineStr">
        <is>
          <t>0661157305</t>
        </is>
      </c>
      <c r="D29" s="124" t="inlineStr">
        <is>
          <t>ok</t>
        </is>
      </c>
      <c r="E29" s="134" t="n">
        <v>44958</v>
      </c>
      <c r="F29" s="201" t="n">
        <v>4</v>
      </c>
      <c r="G29" s="227" t="inlineStr">
        <is>
          <t>Appartement N°19</t>
        </is>
      </c>
      <c r="H29" s="120" t="n">
        <v>300</v>
      </c>
      <c r="I29" s="120" t="n">
        <v>300</v>
      </c>
      <c r="J29" s="120" t="n">
        <v>300</v>
      </c>
      <c r="K29" s="120" t="n">
        <v>300</v>
      </c>
      <c r="L29" s="120" t="n">
        <v>300</v>
      </c>
      <c r="M29" s="120" t="n">
        <v>300</v>
      </c>
      <c r="N29" s="120" t="n">
        <v>300</v>
      </c>
      <c r="O29" s="120" t="n">
        <v>300</v>
      </c>
      <c r="P29" s="120" t="n">
        <v>300</v>
      </c>
      <c r="Q29" s="120" t="n">
        <v>300</v>
      </c>
      <c r="R29" s="120" t="n">
        <v>300</v>
      </c>
      <c r="S29" s="120" t="n">
        <v>300</v>
      </c>
      <c r="T29" s="126">
        <f>SUM(H29:S29)</f>
        <v/>
      </c>
      <c r="U29" s="126">
        <f>-(3600-T29)</f>
        <v/>
      </c>
      <c r="V29" s="127">
        <f>'Cotisation 2024'!U29</f>
        <v/>
      </c>
    </row>
    <row r="30" ht="24.95" customHeight="1">
      <c r="B30" s="137" t="inlineStr">
        <is>
          <t>GHALLAB MOUHSSINE</t>
        </is>
      </c>
      <c r="C30" s="129" t="inlineStr">
        <is>
          <t>0661157305</t>
        </is>
      </c>
      <c r="D30" s="124" t="inlineStr">
        <is>
          <t>ok</t>
        </is>
      </c>
      <c r="E30" s="134" t="n">
        <v>44886</v>
      </c>
      <c r="F30" s="219" t="n"/>
      <c r="G30" s="227" t="inlineStr">
        <is>
          <t>Appartement N°20</t>
        </is>
      </c>
      <c r="H30" s="120" t="n">
        <v>300</v>
      </c>
      <c r="I30" s="120" t="n">
        <v>300</v>
      </c>
      <c r="J30" s="120" t="n">
        <v>300</v>
      </c>
      <c r="K30" s="120" t="n">
        <v>300</v>
      </c>
      <c r="L30" s="120" t="n">
        <v>300</v>
      </c>
      <c r="M30" s="120" t="n">
        <v>300</v>
      </c>
      <c r="N30" s="120" t="n">
        <v>300</v>
      </c>
      <c r="O30" s="120" t="n">
        <v>300</v>
      </c>
      <c r="P30" s="120" t="n">
        <v>300</v>
      </c>
      <c r="Q30" s="120" t="n">
        <v>300</v>
      </c>
      <c r="R30" s="120" t="n">
        <v>300</v>
      </c>
      <c r="S30" s="120" t="n">
        <v>300</v>
      </c>
      <c r="T30" s="126">
        <f>SUM(H30:S30)</f>
        <v/>
      </c>
      <c r="U30" s="126">
        <f>-(3600-T30)</f>
        <v/>
      </c>
      <c r="V30" s="127">
        <f>'Cotisation 2024'!U30</f>
        <v/>
      </c>
    </row>
    <row r="31" ht="24.95" customHeight="1">
      <c r="B31" s="145" t="inlineStr">
        <is>
          <t>MME BEN BRAHIM ANDALOUSSI FATTOUMA</t>
        </is>
      </c>
      <c r="C31" s="129" t="inlineStr">
        <is>
          <t>0661324710</t>
        </is>
      </c>
      <c r="D31" s="124" t="inlineStr">
        <is>
          <t>ok</t>
        </is>
      </c>
      <c r="E31" s="134" t="n">
        <v>44851</v>
      </c>
      <c r="F31" s="219" t="n"/>
      <c r="G31" s="227" t="inlineStr">
        <is>
          <t>Appartement N°21</t>
        </is>
      </c>
      <c r="H31" s="55" t="n">
        <v>300</v>
      </c>
      <c r="I31" s="55" t="n">
        <v>300</v>
      </c>
      <c r="J31" s="55" t="n">
        <v>300</v>
      </c>
      <c r="K31" s="55" t="n">
        <v>300</v>
      </c>
      <c r="L31" s="55" t="n">
        <v>300</v>
      </c>
      <c r="M31" s="55" t="n">
        <v>300</v>
      </c>
      <c r="N31" s="55" t="n">
        <v>300</v>
      </c>
      <c r="O31" s="55" t="n">
        <v>300</v>
      </c>
      <c r="P31" s="55" t="n">
        <v>300</v>
      </c>
      <c r="Q31" s="55" t="n">
        <v>300</v>
      </c>
      <c r="R31" s="55" t="n">
        <v>300</v>
      </c>
      <c r="S31" s="55" t="n">
        <v>300</v>
      </c>
      <c r="T31" s="126">
        <f>SUM(H31:S31)</f>
        <v/>
      </c>
      <c r="U31" s="126">
        <f>-(3600-T31)</f>
        <v/>
      </c>
      <c r="V31" s="127">
        <f>'Cotisation 2024'!U31</f>
        <v/>
      </c>
    </row>
    <row r="32" ht="24.95" customHeight="1">
      <c r="B32" s="133" t="inlineStr">
        <is>
          <t>GHALLAB HAKIM</t>
        </is>
      </c>
      <c r="C32" s="129" t="inlineStr">
        <is>
          <t>0661411823</t>
        </is>
      </c>
      <c r="D32" s="124" t="inlineStr">
        <is>
          <t>ok</t>
        </is>
      </c>
      <c r="E32" s="134" t="n">
        <v>44853</v>
      </c>
      <c r="F32" s="219" t="n"/>
      <c r="G32" s="227" t="inlineStr">
        <is>
          <t>Appartement N°22</t>
        </is>
      </c>
      <c r="H32" s="55" t="n">
        <v>300</v>
      </c>
      <c r="I32" s="55" t="n">
        <v>300</v>
      </c>
      <c r="J32" s="55" t="n">
        <v>300</v>
      </c>
      <c r="K32" s="55" t="n">
        <v>300</v>
      </c>
      <c r="L32" s="55" t="n">
        <v>300</v>
      </c>
      <c r="M32" s="55" t="n">
        <v>300</v>
      </c>
      <c r="N32" s="120" t="n">
        <v>300</v>
      </c>
      <c r="O32" s="120" t="n">
        <v>300</v>
      </c>
      <c r="P32" s="120" t="n">
        <v>300</v>
      </c>
      <c r="Q32" s="120" t="n">
        <v>300</v>
      </c>
      <c r="R32" s="120" t="n">
        <v>300</v>
      </c>
      <c r="S32" s="120" t="n">
        <v>300</v>
      </c>
      <c r="T32" s="126">
        <f>SUM(H32:S32)</f>
        <v/>
      </c>
      <c r="U32" s="126">
        <f>-(3600-T32)</f>
        <v/>
      </c>
      <c r="V32" s="127">
        <f>'Cotisation 2024'!U32</f>
        <v/>
      </c>
    </row>
    <row r="33" ht="24.95" customHeight="1">
      <c r="B33" s="128" t="inlineStr">
        <is>
          <t>MOULINE LARBI</t>
        </is>
      </c>
      <c r="C33" s="129" t="inlineStr">
        <is>
          <t>0606557512</t>
        </is>
      </c>
      <c r="D33" s="124" t="inlineStr">
        <is>
          <t>ok</t>
        </is>
      </c>
      <c r="E33" s="134" t="n">
        <v>44881</v>
      </c>
      <c r="F33" s="219" t="n"/>
      <c r="G33" s="227" t="inlineStr">
        <is>
          <t>Appartement N°23</t>
        </is>
      </c>
      <c r="H33" s="55" t="n">
        <v>300</v>
      </c>
      <c r="I33" s="55" t="n">
        <v>300</v>
      </c>
      <c r="J33" s="55" t="n">
        <v>300</v>
      </c>
      <c r="K33" s="55" t="n">
        <v>300</v>
      </c>
      <c r="L33" s="55" t="n">
        <v>300</v>
      </c>
      <c r="M33" s="55" t="n">
        <v>300</v>
      </c>
      <c r="N33" s="55" t="n">
        <v>300</v>
      </c>
      <c r="O33" s="55" t="n">
        <v>300</v>
      </c>
      <c r="P33" s="55" t="n">
        <v>300</v>
      </c>
      <c r="Q33" s="55" t="n">
        <v>300</v>
      </c>
      <c r="R33" s="55" t="n">
        <v>300</v>
      </c>
      <c r="S33" s="55" t="n">
        <v>300</v>
      </c>
      <c r="T33" s="126">
        <f>SUM(H33:S33)</f>
        <v/>
      </c>
      <c r="U33" s="126">
        <f>-(3600-T33)</f>
        <v/>
      </c>
      <c r="V33" s="127">
        <f>'Cotisation 2024'!U33</f>
        <v/>
      </c>
    </row>
    <row r="34" ht="24.95" customHeight="1">
      <c r="B34" s="136" t="inlineStr">
        <is>
          <t xml:space="preserve">NMJ CAPITAL / BEN HADDOUCH YOUNES </t>
        </is>
      </c>
      <c r="C34" s="129" t="inlineStr">
        <is>
          <t>0669281802</t>
        </is>
      </c>
      <c r="D34" s="124" t="inlineStr">
        <is>
          <t>ok</t>
        </is>
      </c>
      <c r="E34" s="134" t="n">
        <v>45474</v>
      </c>
      <c r="F34" s="228" t="n"/>
      <c r="G34" s="227" t="inlineStr">
        <is>
          <t>Appartement N°24</t>
        </is>
      </c>
      <c r="H34" s="55" t="n">
        <v>300</v>
      </c>
      <c r="I34" s="55" t="n">
        <v>300</v>
      </c>
      <c r="J34" s="55" t="n">
        <v>300</v>
      </c>
      <c r="K34" s="55" t="n">
        <v>300</v>
      </c>
      <c r="L34" s="55" t="n">
        <v>300</v>
      </c>
      <c r="M34" s="55" t="n">
        <v>300</v>
      </c>
      <c r="N34" s="55" t="n">
        <v>300</v>
      </c>
      <c r="O34" s="55" t="n">
        <v>300</v>
      </c>
      <c r="P34" s="55" t="n">
        <v>300</v>
      </c>
      <c r="Q34" s="55" t="n">
        <v>300</v>
      </c>
      <c r="R34" s="55" t="n">
        <v>300</v>
      </c>
      <c r="S34" s="55" t="n">
        <v>300</v>
      </c>
      <c r="T34" s="126">
        <f>SUM(H34:S34)</f>
        <v/>
      </c>
      <c r="U34" s="126">
        <f>-(3600-T34)</f>
        <v/>
      </c>
      <c r="V34" s="127">
        <f>'Cotisation 2024'!U34</f>
        <v/>
      </c>
    </row>
    <row r="35" ht="24.95" customHeight="1">
      <c r="B35" s="128" t="inlineStr">
        <is>
          <t>MME HAJJI SABAH</t>
        </is>
      </c>
      <c r="C35" s="129" t="inlineStr">
        <is>
          <t>0661090187</t>
        </is>
      </c>
      <c r="D35" s="124" t="inlineStr">
        <is>
          <t>ok</t>
        </is>
      </c>
      <c r="E35" s="134" t="n">
        <v>44816</v>
      </c>
      <c r="F35" s="201" t="n">
        <v>5</v>
      </c>
      <c r="G35" s="227" t="inlineStr">
        <is>
          <t>Appartement N°25</t>
        </is>
      </c>
      <c r="H35" s="55" t="n">
        <v>300</v>
      </c>
      <c r="I35" s="55" t="n">
        <v>300</v>
      </c>
      <c r="J35" s="55" t="n">
        <v>300</v>
      </c>
      <c r="K35" s="55" t="n">
        <v>300</v>
      </c>
      <c r="L35" s="55" t="n">
        <v>300</v>
      </c>
      <c r="M35" s="55" t="n">
        <v>300</v>
      </c>
      <c r="N35" s="120" t="n">
        <v>300</v>
      </c>
      <c r="O35" s="120" t="n">
        <v>300</v>
      </c>
      <c r="P35" s="120" t="n">
        <v>300</v>
      </c>
      <c r="Q35" s="120" t="n">
        <v>300</v>
      </c>
      <c r="R35" s="120" t="n">
        <v>300</v>
      </c>
      <c r="S35" s="120" t="n">
        <v>300</v>
      </c>
      <c r="T35" s="126">
        <f>SUM(H35:S35)</f>
        <v/>
      </c>
      <c r="U35" s="126">
        <f>-(3600-T35)</f>
        <v/>
      </c>
      <c r="V35" s="127">
        <f>'Cotisation 2024'!U35</f>
        <v/>
      </c>
    </row>
    <row r="36" ht="24.95" customHeight="1">
      <c r="B36" s="128" t="inlineStr">
        <is>
          <t>MLLE FILALI DOUNIA</t>
        </is>
      </c>
      <c r="C36" s="129" t="inlineStr">
        <is>
          <t>0661201440</t>
        </is>
      </c>
      <c r="D36" s="124" t="inlineStr">
        <is>
          <t>ok</t>
        </is>
      </c>
      <c r="E36" s="134" t="n">
        <v>44832</v>
      </c>
      <c r="F36" s="219" t="n"/>
      <c r="G36" s="227" t="inlineStr">
        <is>
          <t>Appartement N°26</t>
        </is>
      </c>
      <c r="H36" s="55" t="n">
        <v>300</v>
      </c>
      <c r="I36" s="55" t="n">
        <v>300</v>
      </c>
      <c r="J36" s="55" t="n">
        <v>300</v>
      </c>
      <c r="K36" s="55" t="n">
        <v>300</v>
      </c>
      <c r="L36" s="55" t="n">
        <v>300</v>
      </c>
      <c r="M36" s="55" t="n">
        <v>300</v>
      </c>
      <c r="N36" s="55" t="n">
        <v>300</v>
      </c>
      <c r="O36" s="55" t="n">
        <v>300</v>
      </c>
      <c r="P36" s="55" t="n">
        <v>300</v>
      </c>
      <c r="Q36" s="55" t="n">
        <v>300</v>
      </c>
      <c r="R36" s="55" t="n">
        <v>300</v>
      </c>
      <c r="S36" s="55" t="n">
        <v>300</v>
      </c>
      <c r="T36" s="126">
        <f>SUM(H36:S36)</f>
        <v/>
      </c>
      <c r="U36" s="126">
        <f>-(3600-T36)</f>
        <v/>
      </c>
      <c r="V36" s="127">
        <f>'Cotisation 2024'!U36</f>
        <v/>
      </c>
    </row>
    <row r="37" ht="24.95" customHeight="1">
      <c r="B37" s="128" t="inlineStr">
        <is>
          <t>MME AAMARA HAKIMA/MOUFARREH ADIL</t>
        </is>
      </c>
      <c r="C37" s="129" t="inlineStr">
        <is>
          <t>0663381883</t>
        </is>
      </c>
      <c r="D37" s="124" t="inlineStr">
        <is>
          <t>ok</t>
        </is>
      </c>
      <c r="E37" s="134" t="n">
        <v>44846</v>
      </c>
      <c r="F37" s="219" t="n"/>
      <c r="G37" s="227" t="inlineStr">
        <is>
          <t>Appartement N°27</t>
        </is>
      </c>
      <c r="H37" s="55" t="n">
        <v>300</v>
      </c>
      <c r="I37" s="55" t="n">
        <v>300</v>
      </c>
      <c r="J37" s="55" t="n">
        <v>300</v>
      </c>
      <c r="K37" s="55" t="n">
        <v>300</v>
      </c>
      <c r="L37" s="55" t="n">
        <v>300</v>
      </c>
      <c r="M37" s="55" t="n">
        <v>300</v>
      </c>
      <c r="N37" s="55" t="n">
        <v>300</v>
      </c>
      <c r="O37" s="55" t="n">
        <v>300</v>
      </c>
      <c r="P37" s="55" t="n">
        <v>300</v>
      </c>
      <c r="Q37" s="55" t="n">
        <v>300</v>
      </c>
      <c r="R37" s="55" t="n">
        <v>300</v>
      </c>
      <c r="S37" s="55" t="n">
        <v>300</v>
      </c>
      <c r="T37" s="126">
        <f>SUM(H37:S37)</f>
        <v/>
      </c>
      <c r="U37" s="126">
        <f>-(3600-T37)</f>
        <v/>
      </c>
      <c r="V37" s="127">
        <f>'Cotisation 2024'!U37</f>
        <v/>
      </c>
    </row>
    <row r="38" ht="24.95" customHeight="1">
      <c r="B38" s="128" t="inlineStr">
        <is>
          <t>MAHRACH HAYAT</t>
        </is>
      </c>
      <c r="C38" s="129" t="inlineStr">
        <is>
          <t>0661384815</t>
        </is>
      </c>
      <c r="D38" s="124" t="inlineStr">
        <is>
          <t>ok</t>
        </is>
      </c>
      <c r="E38" s="134" t="n">
        <v>44881</v>
      </c>
      <c r="F38" s="219" t="n"/>
      <c r="G38" s="227" t="inlineStr">
        <is>
          <t>Appartement N°28</t>
        </is>
      </c>
      <c r="H38" s="55" t="n">
        <v>300</v>
      </c>
      <c r="I38" s="55" t="n">
        <v>300</v>
      </c>
      <c r="J38" s="55" t="n">
        <v>300</v>
      </c>
      <c r="K38" s="55" t="n">
        <v>300</v>
      </c>
      <c r="L38" s="55" t="n">
        <v>300</v>
      </c>
      <c r="M38" s="55" t="n">
        <v>300</v>
      </c>
      <c r="N38" s="55" t="n">
        <v>300</v>
      </c>
      <c r="O38" s="55" t="n">
        <v>300</v>
      </c>
      <c r="P38" s="55" t="n">
        <v>300</v>
      </c>
      <c r="Q38" s="55" t="n">
        <v>300</v>
      </c>
      <c r="R38" s="55" t="n">
        <v>300</v>
      </c>
      <c r="S38" s="55" t="n">
        <v>300</v>
      </c>
      <c r="T38" s="126">
        <f>SUM(H38:S38)</f>
        <v/>
      </c>
      <c r="U38" s="126">
        <f>-(3600-T38)</f>
        <v/>
      </c>
      <c r="V38" s="127">
        <f>'Cotisation 2024'!U38</f>
        <v/>
      </c>
    </row>
    <row r="39" ht="24.95" customHeight="1">
      <c r="B39" s="128" t="inlineStr">
        <is>
          <t>MAMOUNE KETTANI</t>
        </is>
      </c>
      <c r="C39" s="129" t="inlineStr">
        <is>
          <t>0661457372</t>
        </is>
      </c>
      <c r="D39" s="124" t="inlineStr">
        <is>
          <t>ok</t>
        </is>
      </c>
      <c r="E39" s="134" t="n">
        <v>45139</v>
      </c>
      <c r="F39" s="228" t="n"/>
      <c r="G39" s="227" t="inlineStr">
        <is>
          <t>Appartement N°29</t>
        </is>
      </c>
      <c r="H39" s="55" t="n">
        <v>300</v>
      </c>
      <c r="I39" s="55" t="n">
        <v>300</v>
      </c>
      <c r="J39" s="55" t="n">
        <v>300</v>
      </c>
      <c r="K39" s="55" t="n">
        <v>300</v>
      </c>
      <c r="L39" s="55" t="n">
        <v>300</v>
      </c>
      <c r="M39" s="55" t="n">
        <v>300</v>
      </c>
      <c r="N39" s="55" t="n">
        <v>300</v>
      </c>
      <c r="O39" s="55" t="n">
        <v>300</v>
      </c>
      <c r="P39" s="55" t="n">
        <v>300</v>
      </c>
      <c r="Q39" s="55" t="n">
        <v>300</v>
      </c>
      <c r="R39" s="55" t="n">
        <v>300</v>
      </c>
      <c r="S39" s="55" t="n">
        <v>300</v>
      </c>
      <c r="T39" s="126">
        <f>SUM(H39:S39)</f>
        <v/>
      </c>
      <c r="U39" s="126">
        <f>-(3600-T39)</f>
        <v/>
      </c>
      <c r="V39" s="127">
        <f>'Cotisation 2024'!U39</f>
        <v/>
      </c>
    </row>
    <row r="40" ht="42" customHeight="1">
      <c r="B40" s="146" t="n"/>
      <c r="C40" s="146" t="n"/>
      <c r="D40" s="147" t="n"/>
      <c r="E40" s="147" t="n"/>
      <c r="F40" s="232" t="inlineStr">
        <is>
          <t>Total des cotisations /mois</t>
        </is>
      </c>
      <c r="G40" s="222" t="n"/>
      <c r="H40" s="148">
        <f>SUM(H7:H39)</f>
        <v/>
      </c>
      <c r="I40" s="148">
        <f>SUM(I7:I39)</f>
        <v/>
      </c>
      <c r="J40" s="148">
        <f>SUM(J7:J39)</f>
        <v/>
      </c>
      <c r="K40" s="148">
        <f>SUM(K7:K39)</f>
        <v/>
      </c>
      <c r="L40" s="148">
        <f>SUM(L7:L39)</f>
        <v/>
      </c>
      <c r="M40" s="148">
        <f>SUM(M7:M39)</f>
        <v/>
      </c>
      <c r="N40" s="148">
        <f>SUM(N7:N39)</f>
        <v/>
      </c>
      <c r="O40" s="148">
        <f>SUM(O7:O39)</f>
        <v/>
      </c>
      <c r="P40" s="148">
        <f>SUM(P7:P39)</f>
        <v/>
      </c>
      <c r="Q40" s="148">
        <f>SUM(Q7:Q39)</f>
        <v/>
      </c>
      <c r="R40" s="148">
        <f>SUM(R7:R39)</f>
        <v/>
      </c>
      <c r="S40" s="148">
        <f>SUM(S7:S39)</f>
        <v/>
      </c>
      <c r="T40" s="233">
        <f>SUM(T7:T39)</f>
        <v/>
      </c>
      <c r="U40" s="233">
        <f>SUM(U7:U39)</f>
        <v/>
      </c>
      <c r="V40" s="233">
        <f>SUM(V7:V39)</f>
        <v/>
      </c>
    </row>
    <row r="41">
      <c r="B41" s="1" t="n"/>
      <c r="C41" s="1" t="n"/>
      <c r="D41" s="1" t="n"/>
      <c r="E41" s="1" t="n"/>
      <c r="F41" s="1" t="n"/>
      <c r="G41" s="1" t="n"/>
      <c r="H41" s="7" t="n"/>
      <c r="I41" s="7" t="n"/>
      <c r="J41" s="7" t="n"/>
      <c r="K41" s="204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</row>
    <row r="43">
      <c r="T43" s="1" t="n"/>
      <c r="U43" s="1" t="n"/>
    </row>
  </sheetData>
  <autoFilter ref="B6:V40"/>
  <mergeCells count="9">
    <mergeCell ref="F35:F39"/>
    <mergeCell ref="F23:F28"/>
    <mergeCell ref="F17:F22"/>
    <mergeCell ref="F7:F10"/>
    <mergeCell ref="F11:F16"/>
    <mergeCell ref="K41:L41"/>
    <mergeCell ref="F5:S5"/>
    <mergeCell ref="F40:G40"/>
    <mergeCell ref="F29:F34"/>
  </mergeCells>
  <conditionalFormatting sqref="D7:D39">
    <cfRule type="containsText" priority="7" operator="containsText" dxfId="0" text="ok">
      <formula>NOT(ISERROR(SEARCH("ok",D7)))</formula>
    </cfRule>
    <cfRule type="containsText" priority="8" operator="containsText" dxfId="8" text="ok">
      <formula>NOT(ISERROR(SEARCH("ok",D7)))</formula>
    </cfRule>
    <cfRule type="containsText" priority="9" operator="containsText" dxfId="5" text="ok">
      <formula>NOT(ISERROR(SEARCH("ok",D7)))</formula>
    </cfRule>
  </conditionalFormatting>
  <conditionalFormatting sqref="H22:L22 H24:S25 H27:S28 H31:S39 N22:S22">
    <cfRule type="cellIs" priority="15" operator="greaterThan" dxfId="4">
      <formula>0</formula>
    </cfRule>
  </conditionalFormatting>
  <conditionalFormatting sqref="V7:V39">
    <cfRule type="cellIs" priority="1" operator="greaterThan" dxfId="0">
      <formula>0</formula>
    </cfRule>
    <cfRule type="cellIs" priority="2" operator="lessThan" dxfId="5">
      <formula>0</formula>
    </cfRule>
  </conditionalFormatting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A5:U42"/>
  <sheetViews>
    <sheetView zoomScale="40" zoomScaleNormal="40" zoomScalePageLayoutView="40" workbookViewId="0">
      <selection activeCell="A42" sqref="A42:XFD44"/>
    </sheetView>
  </sheetViews>
  <sheetFormatPr baseColWidth="10" defaultColWidth="9.140625" defaultRowHeight="15"/>
  <cols>
    <col width="3.5703125" customWidth="1" min="1" max="1"/>
    <col width="50.28515625" bestFit="1" customWidth="1" min="2" max="2"/>
    <col width="23" bestFit="1" customWidth="1" min="3" max="3"/>
    <col width="8.7109375" customWidth="1" min="4" max="4"/>
    <col width="17.42578125" customWidth="1" min="5" max="5"/>
    <col width="9.28515625" customWidth="1" min="6" max="6"/>
    <col width="24.5703125" bestFit="1" customWidth="1" min="7" max="7"/>
    <col width="17.28515625" bestFit="1" customWidth="1" min="8" max="10"/>
    <col width="16.42578125" bestFit="1" customWidth="1" min="11" max="11"/>
    <col width="16.140625" bestFit="1" customWidth="1" min="12" max="12"/>
    <col width="16.28515625" bestFit="1" customWidth="1" min="13" max="13"/>
    <col width="16.42578125" bestFit="1" customWidth="1" min="14" max="14"/>
    <col width="14.28515625" customWidth="1" min="15" max="15"/>
    <col width="15.140625" customWidth="1" min="16" max="16"/>
    <col width="16.7109375" bestFit="1" customWidth="1" min="17" max="17"/>
    <col width="12.85546875" customWidth="1" min="18" max="18"/>
    <col width="13.140625" customWidth="1" min="19" max="19"/>
    <col width="28" bestFit="1" customWidth="1" min="20" max="20"/>
    <col width="26.5703125" bestFit="1" customWidth="1" min="21" max="21"/>
  </cols>
  <sheetData>
    <row r="1" ht="28.5" customHeight="1"/>
    <row r="3" ht="102" customHeight="1"/>
    <row r="4" ht="48.75" customHeight="1" thickBot="1"/>
    <row r="5" ht="42.75" customHeight="1" thickBot="1">
      <c r="B5" s="4" t="n"/>
      <c r="C5" s="4" t="n"/>
      <c r="D5" s="4" t="n"/>
      <c r="E5" s="4" t="n"/>
      <c r="F5" s="241" t="inlineStr">
        <is>
          <t>Résidence LES BELLES LOGES : Situation annuelle des cotisations syndicales  Année 2024-2025</t>
        </is>
      </c>
      <c r="G5" s="242" t="n"/>
      <c r="H5" s="242" t="n"/>
      <c r="I5" s="242" t="n"/>
      <c r="J5" s="242" t="n"/>
      <c r="K5" s="242" t="n"/>
      <c r="L5" s="242" t="n"/>
      <c r="M5" s="242" t="n"/>
      <c r="N5" s="242" t="n"/>
      <c r="O5" s="242" t="n"/>
      <c r="P5" s="242" t="n"/>
      <c r="Q5" s="242" t="n"/>
      <c r="R5" s="242" t="n"/>
      <c r="S5" s="243" t="n"/>
      <c r="T5" s="244" t="inlineStr">
        <is>
          <t>Edité le :</t>
        </is>
      </c>
      <c r="U5" s="29">
        <f>TODAY()</f>
        <v/>
      </c>
    </row>
    <row r="6" ht="44.25" customHeight="1" thickBot="1">
      <c r="B6" s="3" t="inlineStr">
        <is>
          <t>Nom du copropriétaire</t>
        </is>
      </c>
      <c r="C6" s="3" t="inlineStr">
        <is>
          <t>N° de Tel</t>
        </is>
      </c>
      <c r="D6" s="3" t="inlineStr">
        <is>
          <t>whatsapp</t>
        </is>
      </c>
      <c r="E6" s="3" t="inlineStr">
        <is>
          <t>Date d'aquisition</t>
        </is>
      </c>
      <c r="F6" s="39" t="inlineStr">
        <is>
          <t>Etage</t>
        </is>
      </c>
      <c r="G6" s="40" t="inlineStr">
        <is>
          <t>N° du lot</t>
        </is>
      </c>
      <c r="H6" s="245" t="n">
        <v>45292</v>
      </c>
      <c r="I6" s="246" t="n">
        <v>45323</v>
      </c>
      <c r="J6" s="247" t="n">
        <v>45352</v>
      </c>
      <c r="K6" s="245" t="n">
        <v>45383</v>
      </c>
      <c r="L6" s="246" t="n">
        <v>45413</v>
      </c>
      <c r="M6" s="247" t="n">
        <v>45444</v>
      </c>
      <c r="N6" s="245" t="n">
        <v>45474</v>
      </c>
      <c r="O6" s="246" t="n">
        <v>45505</v>
      </c>
      <c r="P6" s="247" t="n">
        <v>45536</v>
      </c>
      <c r="Q6" s="245" t="n">
        <v>45566</v>
      </c>
      <c r="R6" s="246" t="n">
        <v>45597</v>
      </c>
      <c r="S6" s="247" t="n">
        <v>45627</v>
      </c>
      <c r="T6" s="248" t="inlineStr">
        <is>
          <t>Total des cotisations payées en 2024</t>
        </is>
      </c>
      <c r="U6" s="248" t="inlineStr">
        <is>
          <t>Reste à payer en 2024-2022</t>
        </is>
      </c>
    </row>
    <row r="7" ht="24.95" customHeight="1">
      <c r="B7" s="15" t="inlineStr">
        <is>
          <t>NMJ CAPITAL</t>
        </is>
      </c>
      <c r="C7" s="9" t="n"/>
      <c r="D7" s="45" t="inlineStr">
        <is>
          <t>ok</t>
        </is>
      </c>
      <c r="E7" s="46" t="n"/>
      <c r="F7" s="212" t="inlineStr">
        <is>
          <t>RDC</t>
        </is>
      </c>
      <c r="G7" s="249" t="inlineStr">
        <is>
          <t>Magasin N° 1</t>
        </is>
      </c>
      <c r="H7" s="48" t="n">
        <v>150</v>
      </c>
      <c r="I7" s="49" t="n">
        <v>150</v>
      </c>
      <c r="J7" s="50" t="n">
        <v>150</v>
      </c>
      <c r="K7" s="48" t="n">
        <v>150</v>
      </c>
      <c r="L7" s="49" t="n">
        <v>150</v>
      </c>
      <c r="M7" s="50" t="n">
        <v>150</v>
      </c>
      <c r="N7" s="48" t="n">
        <v>150</v>
      </c>
      <c r="O7" s="49" t="n">
        <v>150</v>
      </c>
      <c r="P7" s="50" t="n">
        <v>150</v>
      </c>
      <c r="Q7" s="48" t="n">
        <v>150</v>
      </c>
      <c r="R7" s="49" t="n">
        <v>150</v>
      </c>
      <c r="S7" s="50" t="n">
        <v>150</v>
      </c>
      <c r="T7" s="58">
        <f>SUM(H7:S7)</f>
        <v/>
      </c>
      <c r="U7" s="101">
        <f>-(1800-T7)</f>
        <v/>
      </c>
    </row>
    <row r="8" ht="24.95" customHeight="1">
      <c r="B8" s="38" t="inlineStr">
        <is>
          <t>HIND DRIOUECH ET MR ABDELAH NACHIT</t>
        </is>
      </c>
      <c r="C8" s="35" t="inlineStr">
        <is>
          <t>0669791313</t>
        </is>
      </c>
      <c r="D8" s="51" t="inlineStr">
        <is>
          <t>ok</t>
        </is>
      </c>
      <c r="E8" s="52" t="n">
        <v>45313</v>
      </c>
      <c r="F8" s="250" t="n"/>
      <c r="G8" s="251" t="inlineStr">
        <is>
          <t>Magasin N° 2</t>
        </is>
      </c>
      <c r="H8" s="62" t="n">
        <v>0</v>
      </c>
      <c r="I8" s="63" t="n">
        <v>0</v>
      </c>
      <c r="J8" s="64" t="n">
        <v>0</v>
      </c>
      <c r="K8" s="65" t="n">
        <v>0</v>
      </c>
      <c r="L8" s="63" t="n">
        <v>0</v>
      </c>
      <c r="M8" s="64" t="n">
        <v>0</v>
      </c>
      <c r="N8" s="65" t="n">
        <v>0</v>
      </c>
      <c r="O8" s="63" t="n">
        <v>0</v>
      </c>
      <c r="P8" s="64" t="n">
        <v>0</v>
      </c>
      <c r="Q8" s="62" t="n">
        <v>150</v>
      </c>
      <c r="R8" s="63" t="n">
        <v>150</v>
      </c>
      <c r="S8" s="64" t="n">
        <v>150</v>
      </c>
      <c r="T8" s="58">
        <f>SUM(H8:S8)</f>
        <v/>
      </c>
      <c r="U8" s="59">
        <f>-(1800-T8)</f>
        <v/>
      </c>
    </row>
    <row r="9" ht="24.95" customHeight="1">
      <c r="B9" s="16" t="inlineStr">
        <is>
          <t>NMJ CAPITAL</t>
        </is>
      </c>
      <c r="C9" s="27" t="n"/>
      <c r="D9" s="35" t="n"/>
      <c r="E9" s="52" t="n"/>
      <c r="F9" s="250" t="n"/>
      <c r="G9" s="251" t="inlineStr">
        <is>
          <t>Magasin N° 3</t>
        </is>
      </c>
      <c r="H9" s="57" t="n">
        <v>150</v>
      </c>
      <c r="I9" s="55" t="n">
        <v>150</v>
      </c>
      <c r="J9" s="56" t="n">
        <v>150</v>
      </c>
      <c r="K9" s="54" t="n">
        <v>150</v>
      </c>
      <c r="L9" s="55" t="n">
        <v>150</v>
      </c>
      <c r="M9" s="56" t="n">
        <v>150</v>
      </c>
      <c r="N9" s="54" t="n">
        <v>150</v>
      </c>
      <c r="O9" s="55" t="n">
        <v>150</v>
      </c>
      <c r="P9" s="56" t="n">
        <v>150</v>
      </c>
      <c r="Q9" s="54" t="n">
        <v>150</v>
      </c>
      <c r="R9" s="55" t="n">
        <v>150</v>
      </c>
      <c r="S9" s="56" t="n">
        <v>150</v>
      </c>
      <c r="T9" s="58">
        <f>SUM(H9:S9)</f>
        <v/>
      </c>
      <c r="U9" s="59">
        <f>-(1800-T9)</f>
        <v/>
      </c>
    </row>
    <row r="10" ht="24.95" customHeight="1" thickBot="1">
      <c r="B10" s="16" t="inlineStr">
        <is>
          <t>NMJ CAPITAL</t>
        </is>
      </c>
      <c r="C10" s="11" t="n"/>
      <c r="D10" s="60" t="inlineStr">
        <is>
          <t>ok</t>
        </is>
      </c>
      <c r="E10" s="52" t="n"/>
      <c r="F10" s="250" t="n"/>
      <c r="G10" s="252" t="inlineStr">
        <is>
          <t>Magasin N° 4</t>
        </is>
      </c>
      <c r="H10" s="173" t="n">
        <v>150</v>
      </c>
      <c r="I10" s="174" t="n">
        <v>150</v>
      </c>
      <c r="J10" s="175" t="n">
        <v>150</v>
      </c>
      <c r="K10" s="173" t="n">
        <v>150</v>
      </c>
      <c r="L10" s="174" t="n">
        <v>150</v>
      </c>
      <c r="M10" s="175" t="n">
        <v>150</v>
      </c>
      <c r="N10" s="173" t="n">
        <v>150</v>
      </c>
      <c r="O10" s="174" t="n">
        <v>150</v>
      </c>
      <c r="P10" s="175" t="n">
        <v>150</v>
      </c>
      <c r="Q10" s="173" t="n">
        <v>150</v>
      </c>
      <c r="R10" s="174" t="n">
        <v>150</v>
      </c>
      <c r="S10" s="175" t="n">
        <v>150</v>
      </c>
      <c r="T10" s="66">
        <f>SUM(H10:S10)</f>
        <v/>
      </c>
      <c r="U10" s="67">
        <f>-(1800-T10)</f>
        <v/>
      </c>
    </row>
    <row r="11" ht="24.95" customHeight="1">
      <c r="A11" s="36" t="n"/>
      <c r="B11" s="23" t="inlineStr">
        <is>
          <t>BENYAHYA IHSAN</t>
        </is>
      </c>
      <c r="C11" s="25" t="inlineStr">
        <is>
          <t>0662773532</t>
        </is>
      </c>
      <c r="D11" s="68" t="inlineStr">
        <is>
          <t>ok</t>
        </is>
      </c>
      <c r="E11" s="69" t="n">
        <v>44958</v>
      </c>
      <c r="F11" s="214" t="n">
        <v>1</v>
      </c>
      <c r="G11" s="253" t="inlineStr">
        <is>
          <t>Appartement N°1</t>
        </is>
      </c>
      <c r="H11" s="71" t="n">
        <v>360</v>
      </c>
      <c r="I11" s="72" t="n">
        <v>360</v>
      </c>
      <c r="J11" s="73" t="n">
        <v>360</v>
      </c>
      <c r="K11" s="74" t="n">
        <v>300</v>
      </c>
      <c r="L11" s="75" t="n">
        <v>300</v>
      </c>
      <c r="M11" s="76" t="n">
        <v>300</v>
      </c>
      <c r="N11" s="74" t="n">
        <v>300</v>
      </c>
      <c r="O11" s="75" t="n">
        <v>300</v>
      </c>
      <c r="P11" s="77" t="n">
        <v>300</v>
      </c>
      <c r="Q11" s="78" t="n">
        <v>300</v>
      </c>
      <c r="R11" s="75" t="n">
        <v>300</v>
      </c>
      <c r="S11" s="77" t="n">
        <v>300</v>
      </c>
      <c r="T11" s="79">
        <f>SUM(H11:S11)</f>
        <v/>
      </c>
      <c r="U11" s="79">
        <f>-(3780-T11)</f>
        <v/>
      </c>
    </row>
    <row r="12" ht="24.95" customHeight="1">
      <c r="A12" s="36" t="n"/>
      <c r="B12" s="17" t="inlineStr">
        <is>
          <t>GHALLAB HAKIM</t>
        </is>
      </c>
      <c r="C12" s="26" t="inlineStr">
        <is>
          <t>0661411823</t>
        </is>
      </c>
      <c r="D12" s="80" t="inlineStr">
        <is>
          <t>ok</t>
        </is>
      </c>
      <c r="E12" s="52" t="n">
        <v>44813</v>
      </c>
      <c r="F12" s="254" t="n"/>
      <c r="G12" s="251" t="inlineStr">
        <is>
          <t>Appartement N°2</t>
        </is>
      </c>
      <c r="H12" s="81" t="n">
        <v>360</v>
      </c>
      <c r="I12" s="82" t="n">
        <v>360</v>
      </c>
      <c r="J12" s="83" t="n">
        <v>360</v>
      </c>
      <c r="K12" s="57" t="n">
        <v>300</v>
      </c>
      <c r="L12" s="55" t="n">
        <v>300</v>
      </c>
      <c r="M12" s="84" t="n">
        <v>300</v>
      </c>
      <c r="N12" s="57" t="n">
        <v>300</v>
      </c>
      <c r="O12" s="55" t="n">
        <v>300</v>
      </c>
      <c r="P12" s="56" t="n">
        <v>300</v>
      </c>
      <c r="Q12" s="54" t="n">
        <v>300</v>
      </c>
      <c r="R12" s="55" t="n">
        <v>300</v>
      </c>
      <c r="S12" s="56" t="n">
        <v>300</v>
      </c>
      <c r="T12" s="59">
        <f>SUM(H12:S12)</f>
        <v/>
      </c>
      <c r="U12" s="79">
        <f>-(3780-T12)</f>
        <v/>
      </c>
    </row>
    <row r="13" ht="28.15" customHeight="1">
      <c r="A13" s="36" t="n"/>
      <c r="B13" s="12" t="inlineStr">
        <is>
          <t>NADIL IMANE</t>
        </is>
      </c>
      <c r="C13" s="27" t="inlineStr">
        <is>
          <t>061908 2870</t>
        </is>
      </c>
      <c r="D13" s="80" t="inlineStr">
        <is>
          <t>ok</t>
        </is>
      </c>
      <c r="E13" s="85" t="n">
        <v>44881</v>
      </c>
      <c r="F13" s="254" t="n"/>
      <c r="G13" s="255" t="inlineStr">
        <is>
          <t>Appartement N°3</t>
        </is>
      </c>
      <c r="H13" s="87" t="n">
        <v>360</v>
      </c>
      <c r="I13" s="88" t="n">
        <v>360</v>
      </c>
      <c r="J13" s="89" t="n">
        <v>360</v>
      </c>
      <c r="K13" s="57" t="n">
        <v>300</v>
      </c>
      <c r="L13" s="55" t="n">
        <v>300</v>
      </c>
      <c r="M13" s="84" t="n">
        <v>300</v>
      </c>
      <c r="N13" s="57" t="n">
        <v>300</v>
      </c>
      <c r="O13" s="55" t="n">
        <v>300</v>
      </c>
      <c r="P13" s="56" t="n">
        <v>300</v>
      </c>
      <c r="Q13" s="90" t="n">
        <v>300</v>
      </c>
      <c r="R13" s="91" t="n">
        <v>300</v>
      </c>
      <c r="S13" s="92" t="n">
        <v>300</v>
      </c>
      <c r="T13" s="79">
        <f>SUM(H13:S13)</f>
        <v/>
      </c>
      <c r="U13" s="79">
        <f>-(3780-T13)</f>
        <v/>
      </c>
    </row>
    <row r="14" ht="27.6" customHeight="1">
      <c r="B14" s="10" t="inlineStr">
        <is>
          <t>INSAF BASSIL</t>
        </is>
      </c>
      <c r="C14" s="26" t="inlineStr">
        <is>
          <t>NA</t>
        </is>
      </c>
      <c r="D14" s="26" t="inlineStr">
        <is>
          <t>-</t>
        </is>
      </c>
      <c r="E14" s="93" t="n">
        <v>44838</v>
      </c>
      <c r="F14" s="254" t="n"/>
      <c r="G14" s="256" t="inlineStr">
        <is>
          <t>Appartement N°4</t>
        </is>
      </c>
      <c r="H14" s="57" t="n">
        <v>360</v>
      </c>
      <c r="I14" s="55" t="n">
        <v>360</v>
      </c>
      <c r="J14" s="84" t="n">
        <v>360</v>
      </c>
      <c r="K14" s="57" t="n">
        <v>300</v>
      </c>
      <c r="L14" s="55" t="n">
        <v>300</v>
      </c>
      <c r="M14" s="56" t="n">
        <v>300</v>
      </c>
      <c r="N14" s="57" t="n">
        <v>300</v>
      </c>
      <c r="O14" s="55" t="n">
        <v>300</v>
      </c>
      <c r="P14" s="56" t="n">
        <v>300</v>
      </c>
      <c r="Q14" s="54" t="n">
        <v>300</v>
      </c>
      <c r="R14" s="55" t="n">
        <v>300</v>
      </c>
      <c r="S14" s="56" t="n">
        <v>300</v>
      </c>
      <c r="T14" s="59">
        <f>SUM(H14:S14)</f>
        <v/>
      </c>
      <c r="U14" s="79">
        <f>-(3780-T14)</f>
        <v/>
      </c>
    </row>
    <row r="15" ht="24.6" customHeight="1">
      <c r="A15" s="36" t="n"/>
      <c r="B15" s="22" t="inlineStr">
        <is>
          <t>MME TORRES HIND</t>
        </is>
      </c>
      <c r="C15" s="26" t="inlineStr">
        <is>
          <t>00447551433285</t>
        </is>
      </c>
      <c r="D15" s="80" t="inlineStr">
        <is>
          <t>ok</t>
        </is>
      </c>
      <c r="E15" s="93" t="n">
        <v>44833</v>
      </c>
      <c r="F15" s="254" t="n"/>
      <c r="G15" s="257" t="inlineStr">
        <is>
          <t>Appartement N°5</t>
        </is>
      </c>
      <c r="H15" s="87" t="n">
        <v>360</v>
      </c>
      <c r="I15" s="88" t="n">
        <v>360</v>
      </c>
      <c r="J15" s="89" t="n">
        <v>360</v>
      </c>
      <c r="K15" s="57" t="n">
        <v>300</v>
      </c>
      <c r="L15" s="55" t="n">
        <v>300</v>
      </c>
      <c r="M15" s="84" t="n">
        <v>300</v>
      </c>
      <c r="N15" s="57" t="n">
        <v>300</v>
      </c>
      <c r="O15" s="55" t="n">
        <v>300</v>
      </c>
      <c r="P15" s="56" t="n">
        <v>300</v>
      </c>
      <c r="Q15" s="54" t="n">
        <v>300</v>
      </c>
      <c r="R15" s="55" t="n">
        <v>300</v>
      </c>
      <c r="S15" s="56" t="n">
        <v>300</v>
      </c>
      <c r="T15" s="59">
        <f>SUM(H15:S15)</f>
        <v/>
      </c>
      <c r="U15" s="79">
        <f>-(3780-T15)</f>
        <v/>
      </c>
    </row>
    <row r="16" ht="24.95" customHeight="1" thickBot="1">
      <c r="A16" s="36" t="n"/>
      <c r="B16" s="28" t="inlineStr">
        <is>
          <t xml:space="preserve">NMJ CAPITAL / BEN HADDOUCH YOUNES </t>
        </is>
      </c>
      <c r="C16" s="35" t="inlineStr">
        <is>
          <t>0669281802</t>
        </is>
      </c>
      <c r="D16" s="80" t="inlineStr">
        <is>
          <t>ok</t>
        </is>
      </c>
      <c r="E16" s="93" t="n">
        <v>45387</v>
      </c>
      <c r="F16" s="254" t="n"/>
      <c r="G16" s="258" t="inlineStr">
        <is>
          <t>Appartement N°6</t>
        </is>
      </c>
      <c r="H16" s="65" t="n">
        <v>360</v>
      </c>
      <c r="I16" s="63" t="n">
        <v>360</v>
      </c>
      <c r="J16" s="97" t="n">
        <v>360</v>
      </c>
      <c r="K16" s="65" t="n">
        <v>0</v>
      </c>
      <c r="L16" s="63" t="n">
        <v>0</v>
      </c>
      <c r="M16" s="64" t="n">
        <v>0</v>
      </c>
      <c r="N16" s="65" t="n">
        <v>0</v>
      </c>
      <c r="O16" s="63" t="n">
        <v>300</v>
      </c>
      <c r="P16" s="64" t="n">
        <v>300</v>
      </c>
      <c r="Q16" s="62" t="n">
        <v>300</v>
      </c>
      <c r="R16" s="63" t="n">
        <v>300</v>
      </c>
      <c r="S16" s="64" t="n">
        <v>300</v>
      </c>
      <c r="T16" s="98">
        <f>SUM(H16:S16)</f>
        <v/>
      </c>
      <c r="U16" s="99">
        <f>-(3780-T16)</f>
        <v/>
      </c>
    </row>
    <row r="17" ht="24.95" customHeight="1">
      <c r="A17" s="36" t="n"/>
      <c r="B17" s="24" t="inlineStr">
        <is>
          <t>BENYAHYA IHSAN</t>
        </is>
      </c>
      <c r="C17" s="27" t="inlineStr">
        <is>
          <t>0662773532</t>
        </is>
      </c>
      <c r="D17" s="80" t="inlineStr">
        <is>
          <t>ok</t>
        </is>
      </c>
      <c r="E17" s="93" t="n">
        <v>44958</v>
      </c>
      <c r="F17" s="259" t="n">
        <v>2</v>
      </c>
      <c r="G17" s="260" t="inlineStr">
        <is>
          <t>Appartement N°7</t>
        </is>
      </c>
      <c r="H17" s="71" t="n">
        <v>360</v>
      </c>
      <c r="I17" s="72" t="n">
        <v>360</v>
      </c>
      <c r="J17" s="73" t="n">
        <v>360</v>
      </c>
      <c r="K17" s="74" t="n">
        <v>300</v>
      </c>
      <c r="L17" s="75" t="n">
        <v>300</v>
      </c>
      <c r="M17" s="76" t="n">
        <v>300</v>
      </c>
      <c r="N17" s="74" t="n">
        <v>300</v>
      </c>
      <c r="O17" s="75" t="n">
        <v>300</v>
      </c>
      <c r="P17" s="77" t="n">
        <v>300</v>
      </c>
      <c r="Q17" s="78" t="n">
        <v>300</v>
      </c>
      <c r="R17" s="75" t="n">
        <v>300</v>
      </c>
      <c r="S17" s="77" t="n">
        <v>300</v>
      </c>
      <c r="T17" s="101">
        <f>SUM(H17:S17)</f>
        <v/>
      </c>
      <c r="U17" s="101">
        <f>-(3780-T17)</f>
        <v/>
      </c>
    </row>
    <row r="18" ht="24.95" customHeight="1">
      <c r="A18" s="36" t="n"/>
      <c r="B18" s="10" t="inlineStr">
        <is>
          <t>MR LAHBABI NIZAR</t>
        </is>
      </c>
      <c r="C18" s="26" t="inlineStr">
        <is>
          <t>0661286870</t>
        </is>
      </c>
      <c r="D18" s="80" t="inlineStr">
        <is>
          <t>ok</t>
        </is>
      </c>
      <c r="E18" s="93" t="n">
        <v>44813</v>
      </c>
      <c r="F18" s="254" t="n"/>
      <c r="G18" s="256" t="inlineStr">
        <is>
          <t>Appartement N°8</t>
        </is>
      </c>
      <c r="H18" s="81" t="n">
        <v>360</v>
      </c>
      <c r="I18" s="82" t="n">
        <v>360</v>
      </c>
      <c r="J18" s="83" t="n">
        <v>360</v>
      </c>
      <c r="K18" s="57" t="n">
        <v>300</v>
      </c>
      <c r="L18" s="55" t="n">
        <v>300</v>
      </c>
      <c r="M18" s="84" t="n">
        <v>300</v>
      </c>
      <c r="N18" s="57" t="n">
        <v>300</v>
      </c>
      <c r="O18" s="55" t="n">
        <v>300</v>
      </c>
      <c r="P18" s="56" t="n">
        <v>300</v>
      </c>
      <c r="Q18" s="54" t="n">
        <v>300</v>
      </c>
      <c r="R18" s="55" t="n">
        <v>300</v>
      </c>
      <c r="S18" s="56" t="n">
        <v>300</v>
      </c>
      <c r="T18" s="59">
        <f>SUM(H18:S18)</f>
        <v/>
      </c>
      <c r="U18" s="79">
        <f>-(3780-T18)</f>
        <v/>
      </c>
    </row>
    <row r="19" ht="24.95" customHeight="1">
      <c r="A19" s="36" t="n"/>
      <c r="B19" s="10" t="inlineStr">
        <is>
          <t>ASRAGUIS ABDELGHANI</t>
        </is>
      </c>
      <c r="C19" s="26" t="inlineStr">
        <is>
          <t>0661936094</t>
        </is>
      </c>
      <c r="D19" s="80" t="inlineStr">
        <is>
          <t>ok</t>
        </is>
      </c>
      <c r="E19" s="93" t="n">
        <v>44896</v>
      </c>
      <c r="F19" s="254" t="n"/>
      <c r="G19" s="256" t="inlineStr">
        <is>
          <t>Appartement N°9</t>
        </is>
      </c>
      <c r="H19" s="65" t="n">
        <v>360</v>
      </c>
      <c r="I19" s="63" t="n">
        <v>360</v>
      </c>
      <c r="J19" s="97" t="n">
        <v>360</v>
      </c>
      <c r="K19" s="65" t="n">
        <v>300</v>
      </c>
      <c r="L19" s="63" t="n">
        <v>300</v>
      </c>
      <c r="M19" s="64" t="n">
        <v>300</v>
      </c>
      <c r="N19" s="65" t="n">
        <v>300</v>
      </c>
      <c r="O19" s="91" t="n">
        <v>300</v>
      </c>
      <c r="P19" s="56" t="n">
        <v>300</v>
      </c>
      <c r="Q19" s="54" t="n">
        <v>300</v>
      </c>
      <c r="R19" s="55" t="n">
        <v>300</v>
      </c>
      <c r="S19" s="56" t="n">
        <v>300</v>
      </c>
      <c r="T19" s="59">
        <f>SUM(H19:S19)</f>
        <v/>
      </c>
      <c r="U19" s="79">
        <f>-(3780-T19)</f>
        <v/>
      </c>
    </row>
    <row r="20" ht="24.95" customHeight="1">
      <c r="A20" s="36" t="n"/>
      <c r="B20" s="18" t="inlineStr">
        <is>
          <t>GHALLAB MOUHSSINE</t>
        </is>
      </c>
      <c r="C20" s="26" t="inlineStr">
        <is>
          <t>0661157305</t>
        </is>
      </c>
      <c r="D20" s="80" t="inlineStr">
        <is>
          <t>ok</t>
        </is>
      </c>
      <c r="E20" s="93" t="n">
        <v>44958</v>
      </c>
      <c r="F20" s="254" t="n"/>
      <c r="G20" s="257" t="inlineStr">
        <is>
          <t>Appartement N°10</t>
        </is>
      </c>
      <c r="H20" s="81" t="n">
        <v>360</v>
      </c>
      <c r="I20" s="82" t="n">
        <v>360</v>
      </c>
      <c r="J20" s="83" t="n">
        <v>360</v>
      </c>
      <c r="K20" s="57" t="n">
        <v>300</v>
      </c>
      <c r="L20" s="55" t="n">
        <v>300</v>
      </c>
      <c r="M20" s="84" t="n">
        <v>300</v>
      </c>
      <c r="N20" s="65" t="n">
        <v>300</v>
      </c>
      <c r="O20" s="91" t="n">
        <v>300</v>
      </c>
      <c r="P20" s="56" t="n">
        <v>300</v>
      </c>
      <c r="Q20" s="54" t="n">
        <v>300</v>
      </c>
      <c r="R20" s="55" t="n">
        <v>300</v>
      </c>
      <c r="S20" s="56" t="n">
        <v>300</v>
      </c>
      <c r="T20" s="59">
        <f>SUM(H20:S20)</f>
        <v/>
      </c>
      <c r="U20" s="79">
        <f>-(3780-T20)</f>
        <v/>
      </c>
    </row>
    <row r="21" ht="24.95" customHeight="1">
      <c r="A21" s="36" t="n"/>
      <c r="B21" s="22" t="inlineStr">
        <is>
          <t>MME TORRES HIND</t>
        </is>
      </c>
      <c r="C21" s="26" t="inlineStr">
        <is>
          <t>00447551433285</t>
        </is>
      </c>
      <c r="D21" s="80" t="inlineStr">
        <is>
          <t>ok</t>
        </is>
      </c>
      <c r="E21" s="93" t="n">
        <v>44833</v>
      </c>
      <c r="F21" s="254" t="n"/>
      <c r="G21" s="251" t="inlineStr">
        <is>
          <t>Appartement N°11</t>
        </is>
      </c>
      <c r="H21" s="87" t="n">
        <v>360</v>
      </c>
      <c r="I21" s="88" t="n">
        <v>360</v>
      </c>
      <c r="J21" s="89" t="n">
        <v>360</v>
      </c>
      <c r="K21" s="57" t="n">
        <v>300</v>
      </c>
      <c r="L21" s="55" t="n">
        <v>300</v>
      </c>
      <c r="M21" s="84" t="n">
        <v>300</v>
      </c>
      <c r="N21" s="57" t="n">
        <v>300</v>
      </c>
      <c r="O21" s="55" t="n">
        <v>300</v>
      </c>
      <c r="P21" s="56" t="n">
        <v>300</v>
      </c>
      <c r="Q21" s="54" t="n">
        <v>300</v>
      </c>
      <c r="R21" s="55" t="n">
        <v>300</v>
      </c>
      <c r="S21" s="56" t="n">
        <v>300</v>
      </c>
      <c r="T21" s="59">
        <f>SUM(H21:S21)</f>
        <v/>
      </c>
      <c r="U21" s="79">
        <f>-(3780-T21)</f>
        <v/>
      </c>
    </row>
    <row r="22" ht="24" customHeight="1" thickBot="1">
      <c r="B22" s="10" t="inlineStr">
        <is>
          <t>ELMOSTAFA EL GUESSAB</t>
        </is>
      </c>
      <c r="C22" s="26" t="inlineStr">
        <is>
          <t>0705262264</t>
        </is>
      </c>
      <c r="D22" s="26" t="inlineStr">
        <is>
          <t>-</t>
        </is>
      </c>
      <c r="E22" s="102" t="n">
        <v>45139</v>
      </c>
      <c r="F22" s="261" t="n"/>
      <c r="G22" s="262" t="inlineStr">
        <is>
          <t>Appartement N°12</t>
        </is>
      </c>
      <c r="H22" s="104" t="n">
        <v>360</v>
      </c>
      <c r="I22" s="105" t="n">
        <v>360</v>
      </c>
      <c r="J22" s="106" t="n">
        <v>360</v>
      </c>
      <c r="K22" s="107" t="n">
        <v>300</v>
      </c>
      <c r="L22" s="108" t="n">
        <v>300</v>
      </c>
      <c r="M22" s="109" t="n">
        <v>300</v>
      </c>
      <c r="N22" s="107" t="n">
        <v>300</v>
      </c>
      <c r="O22" s="108" t="n">
        <v>300</v>
      </c>
      <c r="P22" s="109" t="n">
        <v>300</v>
      </c>
      <c r="Q22" s="110" t="n">
        <v>300</v>
      </c>
      <c r="R22" s="108" t="n">
        <v>300</v>
      </c>
      <c r="S22" s="109" t="n">
        <v>300</v>
      </c>
      <c r="T22" s="67">
        <f>SUM(H22:S22)</f>
        <v/>
      </c>
      <c r="U22" s="111">
        <f>-(3780-T22)</f>
        <v/>
      </c>
    </row>
    <row r="23" ht="24.95" customHeight="1">
      <c r="B23" s="31" t="inlineStr">
        <is>
          <t xml:space="preserve">DOUKKALI BOUALAM ZINEB / ABDELHADI NADIFI </t>
        </is>
      </c>
      <c r="C23" s="30" t="inlineStr">
        <is>
          <t>0661214852 / 0664908843</t>
        </is>
      </c>
      <c r="D23" s="26" t="inlineStr">
        <is>
          <t>-</t>
        </is>
      </c>
      <c r="E23" s="93" t="n">
        <v>44881</v>
      </c>
      <c r="F23" s="215" t="n">
        <v>3</v>
      </c>
      <c r="G23" s="255" t="inlineStr">
        <is>
          <t>Appartement N°13</t>
        </is>
      </c>
      <c r="H23" s="87" t="n">
        <v>360</v>
      </c>
      <c r="I23" s="88" t="n">
        <v>360</v>
      </c>
      <c r="J23" s="89" t="n">
        <v>360</v>
      </c>
      <c r="K23" s="57" t="n">
        <v>300</v>
      </c>
      <c r="L23" s="55" t="n">
        <v>300</v>
      </c>
      <c r="M23" s="84" t="n">
        <v>300</v>
      </c>
      <c r="N23" s="65" t="n">
        <v>300</v>
      </c>
      <c r="O23" s="91" t="n">
        <v>300</v>
      </c>
      <c r="P23" s="56" t="n">
        <v>300</v>
      </c>
      <c r="Q23" s="54" t="n">
        <v>300</v>
      </c>
      <c r="R23" s="55" t="n">
        <v>300</v>
      </c>
      <c r="S23" s="56" t="n">
        <v>300</v>
      </c>
      <c r="T23" s="79">
        <f>SUM(H23:S23)</f>
        <v/>
      </c>
      <c r="U23" s="101">
        <f>-(3780-T23)</f>
        <v/>
      </c>
    </row>
    <row r="24" ht="24.95" customFormat="1" customHeight="1" s="34">
      <c r="A24" s="37" t="n"/>
      <c r="B24" s="32" t="inlineStr">
        <is>
          <t>GHALLAB HAMID</t>
        </is>
      </c>
      <c r="C24" s="33" t="inlineStr">
        <is>
          <t>0661311165</t>
        </is>
      </c>
      <c r="D24" s="113" t="inlineStr">
        <is>
          <t>ok</t>
        </is>
      </c>
      <c r="E24" s="114" t="n">
        <v>44958</v>
      </c>
      <c r="F24" s="254" t="n"/>
      <c r="G24" s="256" t="inlineStr">
        <is>
          <t>Appartement N°14</t>
        </is>
      </c>
      <c r="H24" s="81" t="n">
        <v>360</v>
      </c>
      <c r="I24" s="82" t="n">
        <v>360</v>
      </c>
      <c r="J24" s="83" t="n">
        <v>360</v>
      </c>
      <c r="K24" s="57" t="n">
        <v>300</v>
      </c>
      <c r="L24" s="55" t="n">
        <v>300</v>
      </c>
      <c r="M24" s="84" t="n">
        <v>300</v>
      </c>
      <c r="N24" s="65" t="n">
        <v>300</v>
      </c>
      <c r="O24" s="91" t="n">
        <v>300</v>
      </c>
      <c r="P24" s="56" t="n">
        <v>300</v>
      </c>
      <c r="Q24" s="54" t="n">
        <v>300</v>
      </c>
      <c r="R24" s="55" t="n">
        <v>300</v>
      </c>
      <c r="S24" s="56" t="n">
        <v>300</v>
      </c>
      <c r="T24" s="59">
        <f>SUM(H24:S24)</f>
        <v/>
      </c>
      <c r="U24" s="79">
        <f>-(3780-T24)</f>
        <v/>
      </c>
    </row>
    <row r="25" ht="24.95" customHeight="1">
      <c r="A25" s="36" t="n"/>
      <c r="B25" s="10" t="inlineStr">
        <is>
          <t>DRISS BENNANI</t>
        </is>
      </c>
      <c r="C25" s="26" t="inlineStr">
        <is>
          <t>0661317078</t>
        </is>
      </c>
      <c r="D25" s="80" t="inlineStr">
        <is>
          <t>ok</t>
        </is>
      </c>
      <c r="E25" s="93" t="n">
        <v>44854</v>
      </c>
      <c r="F25" s="254" t="n"/>
      <c r="G25" s="257" t="inlineStr">
        <is>
          <t>Appartement N°15</t>
        </is>
      </c>
      <c r="H25" s="81" t="n">
        <v>360</v>
      </c>
      <c r="I25" s="82" t="n">
        <v>360</v>
      </c>
      <c r="J25" s="83" t="n">
        <v>360</v>
      </c>
      <c r="K25" s="57" t="n">
        <v>300</v>
      </c>
      <c r="L25" s="55" t="n">
        <v>300</v>
      </c>
      <c r="M25" s="84" t="n">
        <v>300</v>
      </c>
      <c r="N25" s="57" t="n">
        <v>300</v>
      </c>
      <c r="O25" s="55" t="n">
        <v>300</v>
      </c>
      <c r="P25" s="56" t="n">
        <v>300</v>
      </c>
      <c r="Q25" s="54" t="n">
        <v>300</v>
      </c>
      <c r="R25" s="55" t="n">
        <v>300</v>
      </c>
      <c r="S25" s="56" t="n">
        <v>300</v>
      </c>
      <c r="T25" s="59">
        <f>SUM(H25:S25)</f>
        <v/>
      </c>
      <c r="U25" s="79">
        <f>-(3780-T25)</f>
        <v/>
      </c>
    </row>
    <row r="26" ht="24.95" customHeight="1">
      <c r="A26" s="36" t="n"/>
      <c r="B26" s="18" t="inlineStr">
        <is>
          <t>GHALLAB MOUHSSINE</t>
        </is>
      </c>
      <c r="C26" s="26" t="inlineStr">
        <is>
          <t>0661157305</t>
        </is>
      </c>
      <c r="D26" s="80" t="inlineStr">
        <is>
          <t>ok</t>
        </is>
      </c>
      <c r="E26" s="93" t="n">
        <v>44958</v>
      </c>
      <c r="F26" s="254" t="n"/>
      <c r="G26" s="251" t="inlineStr">
        <is>
          <t>Appartement N°16</t>
        </is>
      </c>
      <c r="H26" s="81" t="n">
        <v>360</v>
      </c>
      <c r="I26" s="82" t="n">
        <v>360</v>
      </c>
      <c r="J26" s="83" t="n">
        <v>360</v>
      </c>
      <c r="K26" s="57" t="n">
        <v>300</v>
      </c>
      <c r="L26" s="55" t="n">
        <v>300</v>
      </c>
      <c r="M26" s="84" t="n">
        <v>300</v>
      </c>
      <c r="N26" s="57" t="n">
        <v>300</v>
      </c>
      <c r="O26" s="55" t="n">
        <v>300</v>
      </c>
      <c r="P26" s="56" t="n">
        <v>300</v>
      </c>
      <c r="Q26" s="54" t="n">
        <v>300</v>
      </c>
      <c r="R26" s="55" t="n">
        <v>300</v>
      </c>
      <c r="S26" s="56" t="n">
        <v>300</v>
      </c>
      <c r="T26" s="59">
        <f>SUM(H26:S26)</f>
        <v/>
      </c>
      <c r="U26" s="79">
        <f>-(3780-T26)</f>
        <v/>
      </c>
    </row>
    <row r="27" ht="24.95" customHeight="1">
      <c r="A27" s="36" t="n"/>
      <c r="B27" s="21" t="inlineStr">
        <is>
          <t>GHALLAB HAMID</t>
        </is>
      </c>
      <c r="C27" s="26" t="inlineStr">
        <is>
          <t>0661311165</t>
        </is>
      </c>
      <c r="D27" s="80" t="inlineStr">
        <is>
          <t>ok</t>
        </is>
      </c>
      <c r="E27" s="93" t="n">
        <v>44958</v>
      </c>
      <c r="F27" s="254" t="n"/>
      <c r="G27" s="256" t="inlineStr">
        <is>
          <t>Appartement N°17</t>
        </is>
      </c>
      <c r="H27" s="57" t="n">
        <v>360</v>
      </c>
      <c r="I27" s="55" t="n">
        <v>360</v>
      </c>
      <c r="J27" s="84" t="n">
        <v>360</v>
      </c>
      <c r="K27" s="57" t="n">
        <v>300</v>
      </c>
      <c r="L27" s="55" t="n">
        <v>300</v>
      </c>
      <c r="M27" s="56" t="n">
        <v>300</v>
      </c>
      <c r="N27" s="57" t="n">
        <v>300</v>
      </c>
      <c r="O27" s="55" t="n">
        <v>300</v>
      </c>
      <c r="P27" s="56" t="n">
        <v>300</v>
      </c>
      <c r="Q27" s="54" t="n">
        <v>300</v>
      </c>
      <c r="R27" s="55" t="n">
        <v>300</v>
      </c>
      <c r="S27" s="56" t="n">
        <v>300</v>
      </c>
      <c r="T27" s="59">
        <f>SUM(H27:S27)</f>
        <v/>
      </c>
      <c r="U27" s="79">
        <f>-(3780-T27)</f>
        <v/>
      </c>
    </row>
    <row r="28" ht="30" customHeight="1" thickBot="1">
      <c r="A28" s="36" t="n"/>
      <c r="B28" s="20" t="inlineStr">
        <is>
          <t>MME BEN BRAHIM ANDALOUSSI FATTOUMA</t>
        </is>
      </c>
      <c r="C28" s="26" t="inlineStr">
        <is>
          <t>0661324710</t>
        </is>
      </c>
      <c r="D28" s="80" t="inlineStr">
        <is>
          <t>ok</t>
        </is>
      </c>
      <c r="E28" s="93" t="n">
        <v>45108</v>
      </c>
      <c r="F28" s="254" t="n"/>
      <c r="G28" s="257" t="inlineStr">
        <is>
          <t>Appartement N°18</t>
        </is>
      </c>
      <c r="H28" s="57" t="n">
        <v>360</v>
      </c>
      <c r="I28" s="55" t="n">
        <v>360</v>
      </c>
      <c r="J28" s="84" t="n">
        <v>360</v>
      </c>
      <c r="K28" s="57" t="n">
        <v>300</v>
      </c>
      <c r="L28" s="55" t="n">
        <v>300</v>
      </c>
      <c r="M28" s="56" t="n">
        <v>300</v>
      </c>
      <c r="N28" s="57" t="n">
        <v>300</v>
      </c>
      <c r="O28" s="55" t="n">
        <v>300</v>
      </c>
      <c r="P28" s="56" t="n">
        <v>300</v>
      </c>
      <c r="Q28" s="54" t="n">
        <v>300</v>
      </c>
      <c r="R28" s="55" t="n">
        <v>300</v>
      </c>
      <c r="S28" s="56" t="n">
        <v>300</v>
      </c>
      <c r="T28" s="98">
        <f>SUM(H28:S28)</f>
        <v/>
      </c>
      <c r="U28" s="111">
        <f>-(3780-T28)</f>
        <v/>
      </c>
    </row>
    <row r="29" ht="24.95" customHeight="1">
      <c r="A29" s="36" t="n"/>
      <c r="B29" s="18" t="inlineStr">
        <is>
          <t>GHALLAB MOUHSSINE</t>
        </is>
      </c>
      <c r="C29" s="26" t="inlineStr">
        <is>
          <t>0661157305</t>
        </is>
      </c>
      <c r="D29" s="80" t="inlineStr">
        <is>
          <t>ok</t>
        </is>
      </c>
      <c r="E29" s="93" t="n">
        <v>44958</v>
      </c>
      <c r="F29" s="259" t="n">
        <v>4</v>
      </c>
      <c r="G29" s="260" t="inlineStr">
        <is>
          <t>Appartement N°19</t>
        </is>
      </c>
      <c r="H29" s="71" t="n">
        <v>360</v>
      </c>
      <c r="I29" s="72" t="n">
        <v>360</v>
      </c>
      <c r="J29" s="73" t="n">
        <v>360</v>
      </c>
      <c r="K29" s="74" t="n">
        <v>300</v>
      </c>
      <c r="L29" s="75" t="n">
        <v>300</v>
      </c>
      <c r="M29" s="76" t="n">
        <v>300</v>
      </c>
      <c r="N29" s="74" t="n">
        <v>300</v>
      </c>
      <c r="O29" s="75" t="n">
        <v>300</v>
      </c>
      <c r="P29" s="77" t="n">
        <v>300</v>
      </c>
      <c r="Q29" s="78" t="n">
        <v>300</v>
      </c>
      <c r="R29" s="75" t="n">
        <v>300</v>
      </c>
      <c r="S29" s="77" t="n">
        <v>300</v>
      </c>
      <c r="T29" s="101">
        <f>SUM(H29:S29)</f>
        <v/>
      </c>
      <c r="U29" s="101">
        <f>-(3780-T29)</f>
        <v/>
      </c>
    </row>
    <row r="30" ht="24.95" customHeight="1">
      <c r="A30" s="36" t="n"/>
      <c r="B30" s="18" t="inlineStr">
        <is>
          <t>GHALLAB MOUHSSINE</t>
        </is>
      </c>
      <c r="C30" s="26" t="inlineStr">
        <is>
          <t>0661157305</t>
        </is>
      </c>
      <c r="D30" s="80" t="inlineStr">
        <is>
          <t>ok</t>
        </is>
      </c>
      <c r="E30" s="93" t="n">
        <v>44886</v>
      </c>
      <c r="F30" s="254" t="n"/>
      <c r="G30" s="257" t="inlineStr">
        <is>
          <t>Appartement N°20</t>
        </is>
      </c>
      <c r="H30" s="81" t="n">
        <v>360</v>
      </c>
      <c r="I30" s="82" t="n">
        <v>360</v>
      </c>
      <c r="J30" s="83" t="n">
        <v>360</v>
      </c>
      <c r="K30" s="57" t="n">
        <v>300</v>
      </c>
      <c r="L30" s="55" t="n">
        <v>300</v>
      </c>
      <c r="M30" s="84" t="n">
        <v>300</v>
      </c>
      <c r="N30" s="57" t="n">
        <v>300</v>
      </c>
      <c r="O30" s="55" t="n">
        <v>300</v>
      </c>
      <c r="P30" s="56" t="n">
        <v>300</v>
      </c>
      <c r="Q30" s="54" t="n">
        <v>300</v>
      </c>
      <c r="R30" s="55" t="n">
        <v>300</v>
      </c>
      <c r="S30" s="56" t="n">
        <v>300</v>
      </c>
      <c r="T30" s="59">
        <f>SUM(H30:S30)</f>
        <v/>
      </c>
      <c r="U30" s="79">
        <f>-(3780-T30)</f>
        <v/>
      </c>
    </row>
    <row r="31" ht="24.95" customHeight="1">
      <c r="A31" s="36" t="n"/>
      <c r="B31" s="19" t="inlineStr">
        <is>
          <t>MME BEN BRAHIM ANDALOUSSI FATTOUMA</t>
        </is>
      </c>
      <c r="C31" s="26" t="inlineStr">
        <is>
          <t>0661324710</t>
        </is>
      </c>
      <c r="D31" s="80" t="inlineStr">
        <is>
          <t>ok</t>
        </is>
      </c>
      <c r="E31" s="93" t="n">
        <v>44851</v>
      </c>
      <c r="F31" s="254" t="n"/>
      <c r="G31" s="251" t="inlineStr">
        <is>
          <t>Appartement N°21</t>
        </is>
      </c>
      <c r="H31" s="57" t="n">
        <v>360</v>
      </c>
      <c r="I31" s="55" t="n">
        <v>360</v>
      </c>
      <c r="J31" s="84" t="n">
        <v>360</v>
      </c>
      <c r="K31" s="57" t="n">
        <v>300</v>
      </c>
      <c r="L31" s="55" t="n">
        <v>300</v>
      </c>
      <c r="M31" s="56" t="n">
        <v>300</v>
      </c>
      <c r="N31" s="57" t="n">
        <v>300</v>
      </c>
      <c r="O31" s="55" t="n">
        <v>300</v>
      </c>
      <c r="P31" s="56" t="n">
        <v>300</v>
      </c>
      <c r="Q31" s="54" t="n">
        <v>300</v>
      </c>
      <c r="R31" s="55" t="n">
        <v>300</v>
      </c>
      <c r="S31" s="56" t="n">
        <v>300</v>
      </c>
      <c r="T31" s="59">
        <f>SUM(H31:S31)</f>
        <v/>
      </c>
      <c r="U31" s="79">
        <f>-(3780-T31)</f>
        <v/>
      </c>
    </row>
    <row r="32" ht="24.95" customHeight="1">
      <c r="A32" s="36" t="n"/>
      <c r="B32" s="17" t="inlineStr">
        <is>
          <t>GHALLAB HAKIM</t>
        </is>
      </c>
      <c r="C32" s="26" t="inlineStr">
        <is>
          <t>0661411823</t>
        </is>
      </c>
      <c r="D32" s="80" t="inlineStr">
        <is>
          <t>ok</t>
        </is>
      </c>
      <c r="E32" s="93" t="n">
        <v>44853</v>
      </c>
      <c r="F32" s="254" t="n"/>
      <c r="G32" s="256" t="inlineStr">
        <is>
          <t>Appartement N°22</t>
        </is>
      </c>
      <c r="H32" s="87" t="n">
        <v>360</v>
      </c>
      <c r="I32" s="88" t="n">
        <v>360</v>
      </c>
      <c r="J32" s="89" t="n">
        <v>360</v>
      </c>
      <c r="K32" s="57" t="n">
        <v>300</v>
      </c>
      <c r="L32" s="55" t="n">
        <v>300</v>
      </c>
      <c r="M32" s="84" t="n">
        <v>300</v>
      </c>
      <c r="N32" s="57" t="n">
        <v>300</v>
      </c>
      <c r="O32" s="55" t="n">
        <v>300</v>
      </c>
      <c r="P32" s="56" t="n">
        <v>300</v>
      </c>
      <c r="Q32" s="54" t="n">
        <v>300</v>
      </c>
      <c r="R32" s="55" t="n">
        <v>300</v>
      </c>
      <c r="S32" s="56" t="n">
        <v>300</v>
      </c>
      <c r="T32" s="59">
        <f>SUM(H32:S32)</f>
        <v/>
      </c>
      <c r="U32" s="79">
        <f>-(3780-T32)</f>
        <v/>
      </c>
    </row>
    <row r="33" ht="24.95" customHeight="1">
      <c r="A33" s="36" t="n"/>
      <c r="B33" s="10" t="inlineStr">
        <is>
          <t>MOULINE LARBI</t>
        </is>
      </c>
      <c r="C33" s="27" t="inlineStr">
        <is>
          <t>0606557512</t>
        </is>
      </c>
      <c r="D33" s="80" t="inlineStr">
        <is>
          <t>ok</t>
        </is>
      </c>
      <c r="E33" s="85" t="n">
        <v>44881</v>
      </c>
      <c r="F33" s="254" t="n"/>
      <c r="G33" s="255" t="inlineStr">
        <is>
          <t>Appartement N°23</t>
        </is>
      </c>
      <c r="H33" s="87" t="n">
        <v>360</v>
      </c>
      <c r="I33" s="88" t="n">
        <v>360</v>
      </c>
      <c r="J33" s="89" t="n">
        <v>360</v>
      </c>
      <c r="K33" s="57" t="n">
        <v>300</v>
      </c>
      <c r="L33" s="55" t="n">
        <v>300</v>
      </c>
      <c r="M33" s="84" t="n">
        <v>300</v>
      </c>
      <c r="N33" s="57" t="n">
        <v>300</v>
      </c>
      <c r="O33" s="55" t="n">
        <v>300</v>
      </c>
      <c r="P33" s="56" t="n">
        <v>300</v>
      </c>
      <c r="Q33" s="54" t="n">
        <v>300</v>
      </c>
      <c r="R33" s="55" t="n">
        <v>300</v>
      </c>
      <c r="S33" s="56" t="n">
        <v>300</v>
      </c>
      <c r="T33" s="79">
        <f>SUM(H33:S33)</f>
        <v/>
      </c>
      <c r="U33" s="79">
        <f>-(3780-T33)</f>
        <v/>
      </c>
    </row>
    <row r="34" ht="24.95" customHeight="1" thickBot="1">
      <c r="A34" s="36" t="n"/>
      <c r="B34" s="28" t="inlineStr">
        <is>
          <t xml:space="preserve">BEN HADDOUCH YOUNES </t>
        </is>
      </c>
      <c r="C34" s="26" t="inlineStr">
        <is>
          <t>0669281802</t>
        </is>
      </c>
      <c r="D34" s="80" t="inlineStr">
        <is>
          <t>ok</t>
        </is>
      </c>
      <c r="E34" s="93" t="n">
        <v>45474</v>
      </c>
      <c r="F34" s="261" t="n"/>
      <c r="G34" s="262" t="inlineStr">
        <is>
          <t>Appartement N°24</t>
        </is>
      </c>
      <c r="H34" s="107" t="n">
        <v>360</v>
      </c>
      <c r="I34" s="108" t="n">
        <v>360</v>
      </c>
      <c r="J34" s="115" t="n">
        <v>360</v>
      </c>
      <c r="K34" s="107" t="n">
        <v>300</v>
      </c>
      <c r="L34" s="108" t="n">
        <v>300</v>
      </c>
      <c r="M34" s="109" t="n">
        <v>300</v>
      </c>
      <c r="N34" s="65" t="n">
        <v>300</v>
      </c>
      <c r="O34" s="63" t="n">
        <v>300</v>
      </c>
      <c r="P34" s="64" t="n">
        <v>300</v>
      </c>
      <c r="Q34" s="62" t="n">
        <v>300</v>
      </c>
      <c r="R34" s="63" t="n">
        <v>300</v>
      </c>
      <c r="S34" s="64" t="n">
        <v>300</v>
      </c>
      <c r="T34" s="67">
        <f>SUM(H34:S34)</f>
        <v/>
      </c>
      <c r="U34" s="111">
        <f>-(3780-T34)</f>
        <v/>
      </c>
    </row>
    <row r="35" ht="24.95" customHeight="1">
      <c r="A35" s="36" t="n"/>
      <c r="B35" s="10" t="inlineStr">
        <is>
          <t>MME HAJJI SABAH</t>
        </is>
      </c>
      <c r="C35" s="26" t="inlineStr">
        <is>
          <t>0661090187</t>
        </is>
      </c>
      <c r="D35" s="80" t="inlineStr">
        <is>
          <t>ok</t>
        </is>
      </c>
      <c r="E35" s="93" t="n">
        <v>44816</v>
      </c>
      <c r="F35" s="259" t="n">
        <v>5</v>
      </c>
      <c r="G35" s="255" t="inlineStr">
        <is>
          <t>Appartement N°25</t>
        </is>
      </c>
      <c r="H35" s="112" t="n">
        <v>360</v>
      </c>
      <c r="I35" s="91" t="n">
        <v>360</v>
      </c>
      <c r="J35" s="116" t="n">
        <v>360</v>
      </c>
      <c r="K35" s="112" t="n">
        <v>300</v>
      </c>
      <c r="L35" s="91" t="n">
        <v>300</v>
      </c>
      <c r="M35" s="116" t="n">
        <v>300</v>
      </c>
      <c r="N35" s="74" t="n">
        <v>300</v>
      </c>
      <c r="O35" s="75" t="n">
        <v>300</v>
      </c>
      <c r="P35" s="77" t="n">
        <v>300</v>
      </c>
      <c r="Q35" s="78" t="n">
        <v>300</v>
      </c>
      <c r="R35" s="75" t="n">
        <v>300</v>
      </c>
      <c r="S35" s="77" t="n">
        <v>300</v>
      </c>
      <c r="T35" s="79">
        <f>SUM(H35:S35)</f>
        <v/>
      </c>
      <c r="U35" s="79">
        <f>-(3780-T35)</f>
        <v/>
      </c>
    </row>
    <row r="36" ht="24.95" customHeight="1">
      <c r="A36" s="36" t="n"/>
      <c r="B36" s="10" t="inlineStr">
        <is>
          <t>MLLE FILALI DOUNIA</t>
        </is>
      </c>
      <c r="C36" s="26" t="inlineStr">
        <is>
          <t>0661201440</t>
        </is>
      </c>
      <c r="D36" s="80" t="inlineStr">
        <is>
          <t>ok</t>
        </is>
      </c>
      <c r="E36" s="93" t="n">
        <v>44832</v>
      </c>
      <c r="F36" s="254" t="n"/>
      <c r="G36" s="256" t="inlineStr">
        <is>
          <t>Appartement N°26</t>
        </is>
      </c>
      <c r="H36" s="57" t="n">
        <v>360</v>
      </c>
      <c r="I36" s="55" t="n">
        <v>360</v>
      </c>
      <c r="J36" s="84" t="n">
        <v>360</v>
      </c>
      <c r="K36" s="57" t="n">
        <v>300</v>
      </c>
      <c r="L36" s="55" t="n">
        <v>300</v>
      </c>
      <c r="M36" s="56" t="n">
        <v>300</v>
      </c>
      <c r="N36" s="57" t="n">
        <v>300</v>
      </c>
      <c r="O36" s="55" t="n">
        <v>300</v>
      </c>
      <c r="P36" s="56" t="n">
        <v>300</v>
      </c>
      <c r="Q36" s="54" t="n">
        <v>300</v>
      </c>
      <c r="R36" s="55" t="n">
        <v>300</v>
      </c>
      <c r="S36" s="56" t="n">
        <v>300</v>
      </c>
      <c r="T36" s="59">
        <f>SUM(H36:S36)</f>
        <v/>
      </c>
      <c r="U36" s="79">
        <f>-(3780-T36)</f>
        <v/>
      </c>
    </row>
    <row r="37" ht="24.95" customHeight="1">
      <c r="A37" s="36" t="n"/>
      <c r="B37" s="10" t="inlineStr">
        <is>
          <t>MME AAMARA HAKIMA/MOUFARREH ADIL</t>
        </is>
      </c>
      <c r="C37" s="26" t="inlineStr">
        <is>
          <t>0663381883</t>
        </is>
      </c>
      <c r="D37" s="80" t="inlineStr">
        <is>
          <t>ok</t>
        </is>
      </c>
      <c r="E37" s="93" t="n">
        <v>44846</v>
      </c>
      <c r="F37" s="254" t="n"/>
      <c r="G37" s="256" t="inlineStr">
        <is>
          <t>Appartement N°27</t>
        </is>
      </c>
      <c r="H37" s="57" t="n">
        <v>360</v>
      </c>
      <c r="I37" s="55" t="n">
        <v>360</v>
      </c>
      <c r="J37" s="97" t="n">
        <v>360</v>
      </c>
      <c r="K37" s="65" t="n">
        <v>300</v>
      </c>
      <c r="L37" s="63" t="n">
        <v>300</v>
      </c>
      <c r="M37" s="56" t="n">
        <v>300</v>
      </c>
      <c r="N37" s="57" t="n">
        <v>300</v>
      </c>
      <c r="O37" s="55" t="n">
        <v>300</v>
      </c>
      <c r="P37" s="56" t="n">
        <v>300</v>
      </c>
      <c r="Q37" s="54" t="n">
        <v>300</v>
      </c>
      <c r="R37" s="55" t="n">
        <v>300</v>
      </c>
      <c r="S37" s="56" t="n">
        <v>300</v>
      </c>
      <c r="T37" s="59">
        <f>SUM(H37:S37)</f>
        <v/>
      </c>
      <c r="U37" s="79">
        <f>-(3780-T37)</f>
        <v/>
      </c>
    </row>
    <row r="38" ht="24.95" customHeight="1">
      <c r="A38" s="36" t="n"/>
      <c r="B38" s="10" t="inlineStr">
        <is>
          <t>MAHRACH HAYAT</t>
        </is>
      </c>
      <c r="C38" s="26" t="inlineStr">
        <is>
          <t>0661384815</t>
        </is>
      </c>
      <c r="D38" s="80" t="inlineStr">
        <is>
          <t>ok</t>
        </is>
      </c>
      <c r="E38" s="93" t="n">
        <v>44881</v>
      </c>
      <c r="F38" s="254" t="n"/>
      <c r="G38" s="256" t="inlineStr">
        <is>
          <t>Appartement N°28</t>
        </is>
      </c>
      <c r="H38" s="57" t="n">
        <v>360</v>
      </c>
      <c r="I38" s="55" t="n">
        <v>360</v>
      </c>
      <c r="J38" s="84" t="n">
        <v>360</v>
      </c>
      <c r="K38" s="57" t="n">
        <v>300</v>
      </c>
      <c r="L38" s="55" t="n">
        <v>300</v>
      </c>
      <c r="M38" s="56" t="n">
        <v>300</v>
      </c>
      <c r="N38" s="57" t="n">
        <v>300</v>
      </c>
      <c r="O38" s="55" t="n">
        <v>300</v>
      </c>
      <c r="P38" s="56" t="n">
        <v>300</v>
      </c>
      <c r="Q38" s="54" t="n">
        <v>300</v>
      </c>
      <c r="R38" s="55" t="n">
        <v>300</v>
      </c>
      <c r="S38" s="56" t="n">
        <v>300</v>
      </c>
      <c r="T38" s="59">
        <f>SUM(H38:S38)</f>
        <v/>
      </c>
      <c r="U38" s="79">
        <f>-(3780-T38)</f>
        <v/>
      </c>
    </row>
    <row r="39" ht="24.95" customHeight="1" thickBot="1">
      <c r="A39" s="36" t="n"/>
      <c r="B39" s="10" t="inlineStr">
        <is>
          <t>MAMOUNE KETTANI</t>
        </is>
      </c>
      <c r="C39" s="26" t="inlineStr">
        <is>
          <t>0661457372</t>
        </is>
      </c>
      <c r="D39" s="80" t="inlineStr">
        <is>
          <t>ok</t>
        </is>
      </c>
      <c r="E39" s="93" t="n">
        <v>45139</v>
      </c>
      <c r="F39" s="261" t="n"/>
      <c r="G39" s="256" t="inlineStr">
        <is>
          <t>Appartement N°29</t>
        </is>
      </c>
      <c r="H39" s="87" t="n">
        <v>360</v>
      </c>
      <c r="I39" s="88" t="n">
        <v>360</v>
      </c>
      <c r="J39" s="89" t="n">
        <v>360</v>
      </c>
      <c r="K39" s="57" t="n">
        <v>300</v>
      </c>
      <c r="L39" s="55" t="n">
        <v>300</v>
      </c>
      <c r="M39" s="84" t="n">
        <v>300</v>
      </c>
      <c r="N39" s="107" t="n">
        <v>300</v>
      </c>
      <c r="O39" s="108" t="n">
        <v>300</v>
      </c>
      <c r="P39" s="109" t="n">
        <v>300</v>
      </c>
      <c r="Q39" s="110" t="n">
        <v>300</v>
      </c>
      <c r="R39" s="108" t="n">
        <v>300</v>
      </c>
      <c r="S39" s="109" t="n">
        <v>300</v>
      </c>
      <c r="T39" s="59">
        <f>SUM(H39:S39)</f>
        <v/>
      </c>
      <c r="U39" s="79">
        <f>-(3780-T39)</f>
        <v/>
      </c>
    </row>
    <row r="40" ht="42" customHeight="1" thickBot="1">
      <c r="B40" s="6" t="n"/>
      <c r="C40" s="6" t="n"/>
      <c r="D40" s="117" t="n"/>
      <c r="E40" s="5" t="n"/>
      <c r="F40" s="263" t="inlineStr">
        <is>
          <t>Total des cotisations /mois</t>
        </is>
      </c>
      <c r="G40" s="243" t="n"/>
      <c r="H40" s="118">
        <f>SUM(H7:H39)</f>
        <v/>
      </c>
      <c r="I40" s="118">
        <f>SUM(I7:I39)</f>
        <v/>
      </c>
      <c r="J40" s="118">
        <f>SUM(J7:J39)</f>
        <v/>
      </c>
      <c r="K40" s="118">
        <f>SUM(K7:K39)</f>
        <v/>
      </c>
      <c r="L40" s="118">
        <f>SUM(L7:L39)</f>
        <v/>
      </c>
      <c r="M40" s="118">
        <f>SUM(M7:M39)</f>
        <v/>
      </c>
      <c r="N40" s="118">
        <f>SUM(N7:N39)</f>
        <v/>
      </c>
      <c r="O40" s="118">
        <f>SUM(O7:O39)</f>
        <v/>
      </c>
      <c r="P40" s="118">
        <f>SUM(P7:P39)</f>
        <v/>
      </c>
      <c r="Q40" s="118">
        <f>SUM(Q7:Q39)</f>
        <v/>
      </c>
      <c r="R40" s="118">
        <f>SUM(R7:R39)</f>
        <v/>
      </c>
      <c r="S40" s="118">
        <f>SUM(S7:S39)</f>
        <v/>
      </c>
      <c r="T40" s="264">
        <f>SUM(T7:T39)</f>
        <v/>
      </c>
      <c r="U40" s="264">
        <f>SUM(U7:U39)</f>
        <v/>
      </c>
    </row>
    <row r="41">
      <c r="B41" s="1" t="n"/>
      <c r="C41" s="1" t="n"/>
      <c r="D41" s="1" t="n"/>
      <c r="E41" s="1" t="n"/>
      <c r="F41" s="1" t="n"/>
      <c r="G41" s="1" t="n"/>
      <c r="H41" s="7" t="n"/>
      <c r="I41" s="7" t="n"/>
      <c r="J41" s="7" t="n"/>
      <c r="K41" s="204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</row>
    <row r="42">
      <c r="T42" s="1" t="n"/>
      <c r="U42" s="1" t="n"/>
    </row>
  </sheetData>
  <autoFilter ref="B6:U40"/>
  <mergeCells count="9">
    <mergeCell ref="F35:F39"/>
    <mergeCell ref="F23:F28"/>
    <mergeCell ref="F17:F22"/>
    <mergeCell ref="F7:F10"/>
    <mergeCell ref="F11:F16"/>
    <mergeCell ref="K41:L41"/>
    <mergeCell ref="F5:S5"/>
    <mergeCell ref="F40:G40"/>
    <mergeCell ref="F29:F34"/>
  </mergeCells>
  <conditionalFormatting sqref="D7:D39">
    <cfRule type="containsText" priority="5" operator="containsText" dxfId="0" text="ok">
      <formula>NOT(ISERROR(SEARCH("ok",D7)))</formula>
    </cfRule>
    <cfRule type="containsText" priority="6" operator="containsText" dxfId="8" text="ok">
      <formula>NOT(ISERROR(SEARCH("ok",D7)))</formula>
    </cfRule>
    <cfRule type="containsText" priority="7" operator="containsText" dxfId="5" text="ok">
      <formula>NOT(ISERROR(SEARCH("ok",D7)))</formula>
    </cfRule>
  </conditionalFormatting>
  <conditionalFormatting sqref="H7:S21">
    <cfRule type="cellIs" priority="10" operator="greaterThan" dxfId="4">
      <formula>0</formula>
    </cfRule>
  </conditionalFormatting>
  <conditionalFormatting sqref="H7:S39">
    <cfRule type="containsText" priority="3" operator="containsText" dxfId="5" text="X">
      <formula>NOT(ISERROR(SEARCH("X",H7)))</formula>
    </cfRule>
  </conditionalFormatting>
  <conditionalFormatting sqref="H22:L22 H23:S39 N22:S22">
    <cfRule type="cellIs" priority="23" operator="greaterThan" dxfId="4">
      <formula>0</formula>
    </cfRule>
  </conditionalFormatting>
  <conditionalFormatting sqref="M22">
    <cfRule type="cellIs" priority="11" operator="lessThan" dxfId="2">
      <formula>300</formula>
    </cfRule>
  </conditionalFormatting>
  <conditionalFormatting sqref="N38">
    <cfRule type="cellIs" priority="14" operator="lessThan" dxfId="2">
      <formula>300</formula>
    </cfRule>
  </conditionalFormatting>
  <conditionalFormatting sqref="S35">
    <cfRule type="cellIs" priority="1" operator="greaterThan" dxfId="1">
      <formula>300</formula>
    </cfRule>
    <cfRule type="cellIs" priority="2" operator="lessThan" dxfId="0">
      <formula>300</formula>
    </cfRule>
  </conditionalFormatting>
  <pageMargins left="0.3937007874015748" right="0" top="0.1968503937007874" bottom="0" header="0" footer="0.3149606299212598"/>
  <pageSetup orientation="landscape" paperSize="9" scale="3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2026-10-21T10:14:44Z</dcterms:modified>
</cp:coreProperties>
</file>